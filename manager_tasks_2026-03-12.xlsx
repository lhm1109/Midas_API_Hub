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370" yWindow="4905" windowWidth="28800" windowHeight="15285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PARAMETER 공통" sheetId="3" state="visible" r:id="rId3"/>
    <sheet xmlns:r="http://schemas.openxmlformats.org/officeDocument/2006/relationships" name="입력 가이드" sheetId="4" state="visible" r:id="rId4"/>
    <sheet xmlns:r="http://schemas.openxmlformats.org/officeDocument/2006/relationships" name="기존 end point" sheetId="5" state="visible" r:id="rId5"/>
  </sheets>
  <definedNames>
    <definedName name="_xlnm._FilterDatabase" localSheetId="0" hidden="1">'Tasks'!$A$2:$W$923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family val="2"/>
      <color theme="1"/>
      <sz val="12"/>
      <scheme val="minor"/>
    </font>
    <font>
      <name val="맑은 고딕"/>
      <family val="2"/>
      <b val="1"/>
      <color theme="1"/>
      <sz val="12"/>
      <scheme val="minor"/>
    </font>
    <font>
      <name val="맑은 고딕"/>
      <charset val="129"/>
      <family val="3"/>
      <color rgb="FF000000"/>
      <sz val="12"/>
    </font>
    <font>
      <name val="맑은 고딕"/>
      <family val="2"/>
      <color theme="10"/>
      <sz val="12"/>
      <u val="single"/>
      <scheme val="minor"/>
    </font>
    <font>
      <name val="맑은 고딕"/>
      <family val="2"/>
      <strike val="1"/>
      <color theme="1"/>
      <sz val="12"/>
      <scheme val="minor"/>
    </font>
    <font>
      <name val="맑은 고딕"/>
      <family val="2"/>
      <strike val="1"/>
      <color rgb="FFFF0000"/>
      <sz val="12"/>
      <scheme val="minor"/>
    </font>
    <font>
      <name val="맑은 고딕"/>
      <charset val="129"/>
      <family val="3"/>
      <strike val="1"/>
      <color rgb="FFFF0000"/>
      <sz val="12"/>
    </font>
    <font>
      <name val="맑은 고딕"/>
      <family val="2"/>
      <color rgb="FFFF0000"/>
      <sz val="12"/>
      <scheme val="minor"/>
    </font>
    <font>
      <name val="맑은 고딕"/>
      <charset val="129"/>
      <family val="3"/>
      <strike val="1"/>
      <color rgb="FF000000"/>
      <sz val="12"/>
    </font>
    <font>
      <name val="맑은 고딕"/>
      <family val="2"/>
      <b val="1"/>
      <strike val="1"/>
      <color theme="1"/>
      <sz val="12"/>
      <scheme val="minor"/>
    </font>
    <font>
      <name val="맑은 고딕"/>
      <family val="2"/>
      <b val="1"/>
      <color rgb="FFFF0000"/>
      <sz val="12"/>
      <scheme val="minor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strike val="1"/>
      <color rgb="FF000000"/>
      <sz val="12"/>
    </font>
    <font>
      <name val="맑은 고딕"/>
      <charset val="129"/>
      <family val="3"/>
      <strike val="1"/>
      <color theme="1"/>
      <sz val="12"/>
      <scheme val="minor"/>
    </font>
    <font>
      <name val="맑은 고딕"/>
      <family val="2"/>
      <b val="1"/>
      <strike val="1"/>
      <color rgb="FFFF0000"/>
      <sz val="12"/>
      <scheme val="minor"/>
    </font>
    <font>
      <name val="맑은 고딕"/>
      <charset val="129"/>
      <family val="3"/>
      <b val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0E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1" fillId="0" borderId="0" applyAlignment="1" pivotButton="0" quotePrefix="0" xfId="0">
      <alignment horizontal="left"/>
    </xf>
    <xf numFmtId="0" fontId="12" fillId="2" borderId="0" pivotButton="0" quotePrefix="0" xfId="0"/>
    <xf numFmtId="0" fontId="13" fillId="2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1" fillId="0" borderId="0" pivotButton="0" quotePrefix="0" xfId="0"/>
    <xf numFmtId="0" fontId="1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14" fillId="3" borderId="0" pivotButton="0" quotePrefix="0" xfId="0"/>
    <xf numFmtId="0" fontId="15" fillId="2" borderId="0" pivotButton="0" quotePrefix="0" xfId="0"/>
    <xf numFmtId="0" fontId="0" fillId="4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6" fillId="0" borderId="1" applyAlignment="1" pivotButton="0" quotePrefix="0" xfId="0">
      <alignment horizontal="center" vertical="top"/>
    </xf>
    <xf numFmtId="0" fontId="0" fillId="5" borderId="0" pivotButton="0" quotePrefix="0" xfId="0"/>
  </cellXfs>
  <cellStyles count="1">
    <cellStyle name="Normal" xfId="0" builtinId="0"/>
  </cellStyles>
  <dxfs count="6">
    <dxf>
      <fill>
        <patternFill>
          <bgColor theme="2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94"/>
  <sheetViews>
    <sheetView zoomScale="100" zoomScaleNormal="100" workbookViewId="0">
      <selection activeCell="A1" sqref="A1"/>
    </sheetView>
  </sheetViews>
  <sheetFormatPr baseColWidth="8" defaultRowHeight="17.25" customHeight="1" outlineLevelRow="0"/>
  <cols>
    <col width="6.21875" customWidth="1" min="1" max="1"/>
    <col width="11.21875" customWidth="1" min="3" max="3"/>
    <col width="19.109375" customWidth="1" min="4" max="4"/>
    <col width="16.109375" customWidth="1" min="5" max="5"/>
    <col width="38.21875" customWidth="1" min="6" max="6"/>
    <col width="22.21875" customWidth="1" min="7" max="7"/>
    <col width="19" customWidth="1" min="10" max="10"/>
    <col width="14.88671875" customWidth="1" min="11" max="11"/>
    <col width="37.5546875" customWidth="1" min="12" max="12"/>
    <col width="18.88671875" customWidth="1" min="13" max="13"/>
    <col width="8.77734375" customWidth="1" min="14" max="19"/>
    <col width="37.21875" customWidth="1" min="22" max="22"/>
    <col width="10.44140625" customWidth="1" min="23" max="23"/>
    <col width="50" customWidth="1" min="24" max="24"/>
    <col width="65.6640625" customWidth="1" min="26" max="26"/>
  </cols>
  <sheetData>
    <row r="1">
      <c r="A1" t="n">
        <v>601</v>
      </c>
      <c r="B1" s="1" t="inlineStr"/>
      <c r="C1" s="1" t="inlineStr">
        <is>
          <t>Steel Design</t>
        </is>
      </c>
      <c r="D1" s="1" t="inlineStr">
        <is>
          <t>Design Code</t>
        </is>
      </c>
      <c r="E1" s="2" t="inlineStr">
        <is>
          <t>Design Code</t>
        </is>
      </c>
      <c r="F1" s="1" t="inlineStr"/>
      <c r="G1" s="1" t="inlineStr"/>
      <c r="H1" s="1" t="inlineStr">
        <is>
          <t>DESIGN</t>
        </is>
      </c>
      <c r="I1" s="1" t="inlineStr">
        <is>
          <t>STEEL</t>
        </is>
      </c>
      <c r="J1" s="1" t="n"/>
      <c r="K1" s="1" t="inlineStr">
        <is>
          <t>DSTL</t>
        </is>
      </c>
      <c r="L1" s="1">
        <f>_xlfn.TEXTJOIN("/",TRUE,H1,I1,J1,K1)</f>
        <v/>
      </c>
      <c r="M1" s="1" t="inlineStr"/>
      <c r="N1" s="1" t="inlineStr">
        <is>
          <t>done</t>
        </is>
      </c>
      <c r="O1" s="1" t="inlineStr">
        <is>
          <t>done</t>
        </is>
      </c>
      <c r="P1" s="3" t="inlineStr">
        <is>
          <t>progress</t>
        </is>
      </c>
      <c r="Q1" s="1" t="n"/>
      <c r="R1" s="1" t="n"/>
      <c r="S1" s="1" t="inlineStr">
        <is>
          <t>warning</t>
        </is>
      </c>
      <c r="T1" s="1" t="inlineStr">
        <is>
          <t>Done</t>
        </is>
      </c>
      <c r="U1" s="1" t="n"/>
      <c r="V1" s="1" t="inlineStr">
        <is>
          <t>기존변경필요</t>
        </is>
      </c>
      <c r="X1" s="4" t="inlineStr">
        <is>
          <t>get, put 만 가능 (T_DSTL_D)</t>
        </is>
      </c>
      <c r="Z1">
        <f>IF(OR(K1="",K1="TABLE"),"",
_xlfn.TEXTJOIN(", ",TRUE,
IF(E1&lt;&gt;"",E1&amp;K1,""),
IF(F1&lt;&gt;"",F1&amp;K1,""),
IF(G1&lt;&gt;"",G1&amp;K1,"")
))</f>
        <v/>
      </c>
      <c r="AA1">
        <f>IF(K1="","",IF(K1="TABLE","",K1))</f>
        <v/>
      </c>
      <c r="AB1">
        <f>IF(ISNUMBER(SEARCH("기존변경필요",SUBSTITUTE(TRIM(V1),CHAR(10)," "))),"",
IFERROR(
  _xlfn.XLOOKUP(AA1,'기존 end point'!B:B,'기존 end point'!B:B,,0),
""))</f>
        <v/>
      </c>
    </row>
    <row r="2">
      <c r="A2" t="inlineStr">
        <is>
          <t>Order</t>
        </is>
      </c>
      <c r="B2" t="inlineStr">
        <is>
          <t>Product</t>
        </is>
      </c>
      <c r="C2" t="inlineStr">
        <is>
          <t>Tab</t>
        </is>
      </c>
      <c r="D2" t="inlineStr">
        <is>
          <t>Group</t>
        </is>
      </c>
      <c r="E2" t="inlineStr">
        <is>
          <t>sub1</t>
        </is>
      </c>
      <c r="F2" t="inlineStr">
        <is>
          <t>sub2</t>
        </is>
      </c>
      <c r="G2" t="inlineStr">
        <is>
          <t>sub3</t>
        </is>
      </c>
      <c r="H2" t="inlineStr">
        <is>
          <t>seg1</t>
        </is>
      </c>
      <c r="I2" t="inlineStr">
        <is>
          <t>seg2</t>
        </is>
      </c>
      <c r="J2" t="inlineStr">
        <is>
          <t>seg3</t>
        </is>
      </c>
      <c r="K2" t="inlineStr">
        <is>
          <t>seg4</t>
        </is>
      </c>
      <c r="L2" t="inlineStr">
        <is>
          <t>End Point</t>
        </is>
      </c>
      <c r="M2" t="inlineStr">
        <is>
          <t>mode</t>
        </is>
      </c>
      <c r="N2" t="inlineStr">
        <is>
          <t>Plan</t>
        </is>
      </c>
      <c r="O2" t="inlineStr">
        <is>
          <t>Dev</t>
        </is>
      </c>
      <c r="P2" t="inlineStr">
        <is>
          <t>V&amp;V</t>
        </is>
      </c>
      <c r="Q2" t="inlineStr">
        <is>
          <t>doc</t>
        </is>
      </c>
      <c r="R2" t="inlineStr">
        <is>
          <t>Deploy</t>
        </is>
      </c>
      <c r="S2" t="inlineStr">
        <is>
          <t>Issue</t>
        </is>
      </c>
      <c r="T2" t="inlineStr">
        <is>
          <t>status</t>
        </is>
      </c>
      <c r="U2" t="inlineStr">
        <is>
          <t>charge</t>
        </is>
      </c>
      <c r="V2" t="inlineStr">
        <is>
          <t>remark</t>
        </is>
      </c>
      <c r="X2" t="inlineStr">
        <is>
          <t>개발 비고</t>
        </is>
      </c>
    </row>
    <row r="3">
      <c r="A3" t="n">
        <v>1</v>
      </c>
      <c r="B3" t="inlineStr">
        <is>
          <t>civil-nx/gen-nx</t>
        </is>
      </c>
      <c r="C3" t="inlineStr">
        <is>
          <t>View</t>
        </is>
      </c>
      <c r="D3" t="inlineStr">
        <is>
          <t>View</t>
        </is>
      </c>
      <c r="E3" t="inlineStr">
        <is>
          <t>View Point</t>
        </is>
      </c>
      <c r="F3" t="inlineStr">
        <is>
          <t>Rotate Up</t>
        </is>
      </c>
      <c r="H3" t="inlineStr">
        <is>
          <t>view</t>
        </is>
      </c>
      <c r="N3" t="inlineStr">
        <is>
          <t>done</t>
        </is>
      </c>
      <c r="O3" t="inlineStr">
        <is>
          <t>done</t>
        </is>
      </c>
      <c r="P3" t="inlineStr">
        <is>
          <t>done</t>
        </is>
      </c>
      <c r="Q3" t="inlineStr">
        <is>
          <t>done</t>
        </is>
      </c>
      <c r="R3" t="inlineStr">
        <is>
          <t>done</t>
        </is>
      </c>
      <c r="S3" t="inlineStr">
        <is>
          <t>done</t>
        </is>
      </c>
      <c r="T3" t="inlineStr">
        <is>
          <t>Done</t>
        </is>
      </c>
      <c r="Z3">
        <f>IF(OR(K3="",K3="TABLE"),"",
_xlfn.TEXTJOIN(", ",TRUE,
IF(E3&lt;&gt;"",E3&amp;K3,""),
IF(F3&lt;&gt;"",F3&amp;K3,""),
IF(G3&lt;&gt;"",G3&amp;K3,"")
))</f>
        <v/>
      </c>
      <c r="AA3">
        <f>IF(K3="","",IF(K3="TABLE","",K3))</f>
        <v/>
      </c>
      <c r="AB3">
        <f>IF(ISNUMBER(SEARCH("기존변경필요",SUBSTITUTE(TRIM(V3),CHAR(10)," "))),"",
IFERROR(
  _xlfn.XLOOKUP(AA3,'기존 end point'!B:B,'기존 end point'!B:B,,0),
""))</f>
        <v/>
      </c>
    </row>
    <row r="4">
      <c r="A4" t="n">
        <v>2</v>
      </c>
      <c r="B4" t="inlineStr">
        <is>
          <t>civil-nx/gen-nx</t>
        </is>
      </c>
      <c r="C4" t="inlineStr">
        <is>
          <t>View</t>
        </is>
      </c>
      <c r="D4" t="inlineStr">
        <is>
          <t>View</t>
        </is>
      </c>
      <c r="E4" t="inlineStr">
        <is>
          <t>View Point</t>
        </is>
      </c>
      <c r="F4" t="inlineStr">
        <is>
          <t>Angle</t>
        </is>
      </c>
      <c r="H4" t="inlineStr">
        <is>
          <t>view</t>
        </is>
      </c>
      <c r="I4" t="inlineStr">
        <is>
          <t>angle</t>
        </is>
      </c>
      <c r="K4">
        <f>_xlfn.TEXTAFTER(L4,"/",-1)</f>
        <v/>
      </c>
      <c r="L4" t="inlineStr">
        <is>
          <t>/view/angle</t>
        </is>
      </c>
      <c r="M4" t="inlineStr">
        <is>
          <t>Viewpoint</t>
        </is>
      </c>
      <c r="N4" t="inlineStr">
        <is>
          <t>done</t>
        </is>
      </c>
      <c r="O4" t="inlineStr">
        <is>
          <t>done</t>
        </is>
      </c>
      <c r="P4" t="inlineStr">
        <is>
          <t>done</t>
        </is>
      </c>
      <c r="Q4" t="inlineStr">
        <is>
          <t>done</t>
        </is>
      </c>
      <c r="R4" t="inlineStr">
        <is>
          <t>done</t>
        </is>
      </c>
      <c r="S4" t="inlineStr">
        <is>
          <t>done</t>
        </is>
      </c>
      <c r="T4" t="inlineStr">
        <is>
          <t>Done</t>
        </is>
      </c>
      <c r="Z4">
        <f>IF(OR(K4="",K4="TABLE"),"",
_xlfn.TEXTJOIN(", ",TRUE,
IF(E4&lt;&gt;"",E4&amp;K4,""),
IF(F4&lt;&gt;"",F4&amp;K4,""),
IF(G4&lt;&gt;"",G4&amp;K4,"")
))</f>
        <v/>
      </c>
      <c r="AA4">
        <f>IF(K4="","",IF(K4="TABLE","",K4))</f>
        <v/>
      </c>
      <c r="AB4">
        <f>IF(ISNUMBER(SEARCH("기존변경필요",SUBSTITUTE(TRIM(V4),CHAR(10)," "))),"",
IFERROR(
  _xlfn.XLOOKUP(AA4,'기존 end point'!B:B,'기존 end point'!B:B,,0),
""))</f>
        <v/>
      </c>
    </row>
    <row r="5">
      <c r="A5" t="n">
        <v>3</v>
      </c>
      <c r="B5" t="inlineStr">
        <is>
          <t>civil-nx/gen-nx</t>
        </is>
      </c>
      <c r="C5" t="inlineStr">
        <is>
          <t>View</t>
        </is>
      </c>
      <c r="D5" t="inlineStr">
        <is>
          <t>View</t>
        </is>
      </c>
      <c r="E5" t="inlineStr">
        <is>
          <t>View Point</t>
        </is>
      </c>
      <c r="F5" t="inlineStr">
        <is>
          <t>Rotate Left</t>
        </is>
      </c>
      <c r="H5" t="inlineStr">
        <is>
          <t>view</t>
        </is>
      </c>
      <c r="T5" t="inlineStr">
        <is>
          <t>none</t>
        </is>
      </c>
      <c r="Z5">
        <f>IF(OR(K5="",K5="TABLE"),"",
_xlfn.TEXTJOIN(", ",TRUE,
IF(E5&lt;&gt;"",E5&amp;K5,""),
IF(F5&lt;&gt;"",F5&amp;K5,""),
IF(G5&lt;&gt;"",G5&amp;K5,"")
))</f>
        <v/>
      </c>
      <c r="AA5">
        <f>IF(K5="","",IF(K5="TABLE","",K5))</f>
        <v/>
      </c>
      <c r="AB5">
        <f>IF(ISNUMBER(SEARCH("기존변경필요",SUBSTITUTE(TRIM(V5),CHAR(10)," "))),"",
IFERROR(
  _xlfn.XLOOKUP(AA5,'기존 end point'!B:B,'기존 end point'!B:B,,0),
""))</f>
        <v/>
      </c>
    </row>
    <row r="6">
      <c r="A6" t="n">
        <v>4</v>
      </c>
      <c r="B6" t="inlineStr">
        <is>
          <t>civil-nx/gen-nx</t>
        </is>
      </c>
      <c r="C6" t="inlineStr">
        <is>
          <t>View</t>
        </is>
      </c>
      <c r="D6" t="inlineStr">
        <is>
          <t>View</t>
        </is>
      </c>
      <c r="E6" t="inlineStr">
        <is>
          <t>View Point</t>
        </is>
      </c>
      <c r="F6" t="inlineStr">
        <is>
          <t>Rotate Right</t>
        </is>
      </c>
      <c r="H6" t="inlineStr">
        <is>
          <t>view</t>
        </is>
      </c>
      <c r="T6" t="inlineStr">
        <is>
          <t>none</t>
        </is>
      </c>
      <c r="Z6">
        <f>IF(OR(K6="",K6="TABLE"),"",
_xlfn.TEXTJOIN(", ",TRUE,
IF(E6&lt;&gt;"",E6&amp;K6,""),
IF(F6&lt;&gt;"",F6&amp;K6,""),
IF(G6&lt;&gt;"",G6&amp;K6,"")
))</f>
        <v/>
      </c>
      <c r="AA6">
        <f>IF(K6="","",IF(K6="TABLE","",K6))</f>
        <v/>
      </c>
      <c r="AB6">
        <f>IF(ISNUMBER(SEARCH("기존변경필요",SUBSTITUTE(TRIM(V6),CHAR(10)," "))),"",
IFERROR(
  _xlfn.XLOOKUP(AA6,'기존 end point'!B:B,'기존 end point'!B:B,,0),
""))</f>
        <v/>
      </c>
    </row>
    <row r="7">
      <c r="A7" t="n">
        <v>5</v>
      </c>
      <c r="B7" t="inlineStr">
        <is>
          <t>civil-nx/gen-nx</t>
        </is>
      </c>
      <c r="C7" t="inlineStr">
        <is>
          <t>Project</t>
        </is>
      </c>
      <c r="D7" t="inlineStr">
        <is>
          <t>API</t>
        </is>
      </c>
      <c r="E7" t="inlineStr">
        <is>
          <t>New Project</t>
        </is>
      </c>
      <c r="H7" t="inlineStr">
        <is>
          <t>doc</t>
        </is>
      </c>
      <c r="I7" t="inlineStr">
        <is>
          <t>new</t>
        </is>
      </c>
      <c r="K7">
        <f>_xlfn.TEXTAFTER(L7,"/",-1)</f>
        <v/>
      </c>
      <c r="L7" t="inlineStr">
        <is>
          <t>/doc/new</t>
        </is>
      </c>
      <c r="O7" t="inlineStr">
        <is>
          <t>done</t>
        </is>
      </c>
      <c r="P7" t="inlineStr">
        <is>
          <t>done</t>
        </is>
      </c>
      <c r="Q7" t="inlineStr">
        <is>
          <t>done</t>
        </is>
      </c>
      <c r="R7" t="inlineStr">
        <is>
          <t>done</t>
        </is>
      </c>
      <c r="S7" t="inlineStr">
        <is>
          <t>done</t>
        </is>
      </c>
      <c r="T7" t="inlineStr">
        <is>
          <t>none</t>
        </is>
      </c>
      <c r="Z7">
        <f>IF(OR(K7="",K7="TABLE"),"",
_xlfn.TEXTJOIN(", ",TRUE,
IF(E7&lt;&gt;"",E7&amp;K7,""),
IF(F7&lt;&gt;"",F7&amp;K7,""),
IF(G7&lt;&gt;"",G7&amp;K7,"")
))</f>
        <v/>
      </c>
      <c r="AA7">
        <f>IF(K7="","",IF(K7="TABLE","",K7))</f>
        <v/>
      </c>
      <c r="AB7">
        <f>IF(ISNUMBER(SEARCH("기존변경필요",SUBSTITUTE(TRIM(V7),CHAR(10)," "))),"",
IFERROR(
  _xlfn.XLOOKUP(AA7,'기존 end point'!B:B,'기존 end point'!B:B,,0),
""))</f>
        <v/>
      </c>
    </row>
    <row r="8">
      <c r="A8" t="n">
        <v>6</v>
      </c>
      <c r="B8" t="inlineStr">
        <is>
          <t>civil-nx/gen-nx</t>
        </is>
      </c>
      <c r="C8" t="inlineStr">
        <is>
          <t>Project</t>
        </is>
      </c>
      <c r="D8" t="inlineStr">
        <is>
          <t>API</t>
        </is>
      </c>
      <c r="E8" t="inlineStr">
        <is>
          <t>Open Project</t>
        </is>
      </c>
      <c r="H8" t="inlineStr">
        <is>
          <t>doc</t>
        </is>
      </c>
      <c r="I8" t="inlineStr">
        <is>
          <t>open</t>
        </is>
      </c>
      <c r="K8">
        <f>_xlfn.TEXTAFTER(L8,"/",-1)</f>
        <v/>
      </c>
      <c r="L8" t="inlineStr">
        <is>
          <t>/doc/open</t>
        </is>
      </c>
      <c r="N8" t="inlineStr">
        <is>
          <t>done</t>
        </is>
      </c>
      <c r="O8" t="inlineStr">
        <is>
          <t>done</t>
        </is>
      </c>
      <c r="P8" t="inlineStr">
        <is>
          <t>done</t>
        </is>
      </c>
      <c r="Q8" t="inlineStr">
        <is>
          <t>done</t>
        </is>
      </c>
      <c r="R8" t="inlineStr">
        <is>
          <t>done</t>
        </is>
      </c>
      <c r="S8" t="inlineStr">
        <is>
          <t>done</t>
        </is>
      </c>
      <c r="T8" t="inlineStr">
        <is>
          <t>Done</t>
        </is>
      </c>
      <c r="Z8">
        <f>IF(OR(K8="",K8="TABLE"),"",
_xlfn.TEXTJOIN(", ",TRUE,
IF(E8&lt;&gt;"",E8&amp;K8,""),
IF(F8&lt;&gt;"",F8&amp;K8,""),
IF(G8&lt;&gt;"",G8&amp;K8,"")
))</f>
        <v/>
      </c>
      <c r="AA8">
        <f>IF(K8="","",IF(K8="TABLE","",K8))</f>
        <v/>
      </c>
      <c r="AB8">
        <f>IF(ISNUMBER(SEARCH("기존변경필요",SUBSTITUTE(TRIM(V8),CHAR(10)," "))),"",
IFERROR(
  _xlfn.XLOOKUP(AA8,'기존 end point'!B:B,'기존 end point'!B:B,,0),
""))</f>
        <v/>
      </c>
    </row>
    <row r="9">
      <c r="A9" t="n">
        <v>7</v>
      </c>
      <c r="B9" t="inlineStr">
        <is>
          <t>civil-nx/gen-nx</t>
        </is>
      </c>
      <c r="C9" t="inlineStr">
        <is>
          <t>Project</t>
        </is>
      </c>
      <c r="D9" t="inlineStr">
        <is>
          <t>API</t>
        </is>
      </c>
      <c r="E9" t="inlineStr">
        <is>
          <t>Close Project</t>
        </is>
      </c>
      <c r="H9" t="inlineStr">
        <is>
          <t>doc</t>
        </is>
      </c>
      <c r="I9" t="inlineStr">
        <is>
          <t>close</t>
        </is>
      </c>
      <c r="K9">
        <f>_xlfn.TEXTAFTER(L9,"/",-1)</f>
        <v/>
      </c>
      <c r="L9" t="inlineStr">
        <is>
          <t>/doc/close</t>
        </is>
      </c>
      <c r="N9" t="inlineStr">
        <is>
          <t>done</t>
        </is>
      </c>
      <c r="O9" t="inlineStr">
        <is>
          <t>done</t>
        </is>
      </c>
      <c r="P9" t="inlineStr">
        <is>
          <t>done</t>
        </is>
      </c>
      <c r="Q9" t="inlineStr">
        <is>
          <t>done</t>
        </is>
      </c>
      <c r="R9" t="inlineStr">
        <is>
          <t>done</t>
        </is>
      </c>
      <c r="S9" t="inlineStr">
        <is>
          <t>done</t>
        </is>
      </c>
      <c r="T9" t="inlineStr">
        <is>
          <t>Done</t>
        </is>
      </c>
      <c r="Z9">
        <f>IF(OR(K9="",K9="TABLE"),"",
_xlfn.TEXTJOIN(", ",TRUE,
IF(E9&lt;&gt;"",E9&amp;K9,""),
IF(F9&lt;&gt;"",F9&amp;K9,""),
IF(G9&lt;&gt;"",G9&amp;K9,"")
))</f>
        <v/>
      </c>
      <c r="AA9">
        <f>IF(K9="","",IF(K9="TABLE","",K9))</f>
        <v/>
      </c>
      <c r="AB9">
        <f>IF(ISNUMBER(SEARCH("기존변경필요",SUBSTITUTE(TRIM(V9),CHAR(10)," "))),"",
IFERROR(
  _xlfn.XLOOKUP(AA9,'기존 end point'!B:B,'기존 end point'!B:B,,0),
""))</f>
        <v/>
      </c>
    </row>
    <row r="10">
      <c r="A10" s="26" t="n"/>
      <c r="B10" s="26" t="n"/>
      <c r="C10" s="26" t="inlineStr">
        <is>
          <t>DOC</t>
        </is>
      </c>
      <c r="D10" s="26" t="inlineStr">
        <is>
          <t>DOC</t>
        </is>
      </c>
      <c r="E10" s="26" t="inlineStr">
        <is>
          <t>Save</t>
        </is>
      </c>
      <c r="F10" s="26" t="n"/>
      <c r="G10" s="26" t="n"/>
      <c r="H10" s="26" t="inlineStr">
        <is>
          <t>DOC</t>
        </is>
      </c>
      <c r="I10" s="26" t="inlineStr">
        <is>
          <t>SAVE</t>
        </is>
      </c>
      <c r="J10" s="26" t="n"/>
      <c r="K10" s="26" t="n"/>
      <c r="L10" s="26" t="inlineStr">
        <is>
          <t>/DOC/SAVE</t>
        </is>
      </c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inlineStr">
        <is>
          <t>POST</t>
        </is>
      </c>
      <c r="W10" s="26" t="n"/>
      <c r="X10" s="26" t="n"/>
    </row>
    <row r="11">
      <c r="A11" t="n">
        <v>8</v>
      </c>
      <c r="B11" t="inlineStr">
        <is>
          <t>civil-nx/gen-nx</t>
        </is>
      </c>
      <c r="C11" t="inlineStr">
        <is>
          <t>Project</t>
        </is>
      </c>
      <c r="D11" t="inlineStr">
        <is>
          <t>API</t>
        </is>
      </c>
      <c r="E11" t="inlineStr">
        <is>
          <t>Save As</t>
        </is>
      </c>
      <c r="L11" t="inlineStr">
        <is>
          <t>/doc/stagas</t>
        </is>
      </c>
      <c r="N11" t="inlineStr">
        <is>
          <t>done</t>
        </is>
      </c>
      <c r="O11" t="inlineStr">
        <is>
          <t>done</t>
        </is>
      </c>
      <c r="P11" t="inlineStr">
        <is>
          <t>done</t>
        </is>
      </c>
      <c r="Q11" t="inlineStr">
        <is>
          <t>done</t>
        </is>
      </c>
      <c r="R11" t="inlineStr">
        <is>
          <t>done</t>
        </is>
      </c>
      <c r="S11" t="inlineStr">
        <is>
          <t>done</t>
        </is>
      </c>
      <c r="T11" t="inlineStr">
        <is>
          <t>Done</t>
        </is>
      </c>
    </row>
    <row r="12">
      <c r="A12" t="n">
        <v>9</v>
      </c>
      <c r="B12" t="inlineStr">
        <is>
          <t>civil-nx/gen-nx</t>
        </is>
      </c>
      <c r="C12" t="inlineStr">
        <is>
          <t>Project</t>
        </is>
      </c>
      <c r="D12" t="inlineStr">
        <is>
          <t>API</t>
        </is>
      </c>
      <c r="E12" t="inlineStr">
        <is>
          <t>Save Current Stage As</t>
        </is>
      </c>
      <c r="L12" t="inlineStr">
        <is>
          <t>/doc/import</t>
        </is>
      </c>
      <c r="N12" t="inlineStr">
        <is>
          <t>done</t>
        </is>
      </c>
      <c r="O12" t="inlineStr">
        <is>
          <t>done</t>
        </is>
      </c>
      <c r="P12" t="inlineStr">
        <is>
          <t>done</t>
        </is>
      </c>
      <c r="Q12" t="inlineStr">
        <is>
          <t>done</t>
        </is>
      </c>
      <c r="R12" t="inlineStr">
        <is>
          <t>done</t>
        </is>
      </c>
      <c r="S12" t="inlineStr">
        <is>
          <t>done</t>
        </is>
      </c>
      <c r="T12" t="inlineStr">
        <is>
          <t>Done</t>
        </is>
      </c>
    </row>
    <row r="13">
      <c r="A13" t="n">
        <v>10</v>
      </c>
      <c r="B13" t="inlineStr">
        <is>
          <t>civil-nx/gen-nx</t>
        </is>
      </c>
      <c r="C13" t="inlineStr">
        <is>
          <t>Project</t>
        </is>
      </c>
      <c r="D13" t="inlineStr">
        <is>
          <t>API</t>
        </is>
      </c>
      <c r="E13" t="inlineStr">
        <is>
          <t>Import to Json</t>
        </is>
      </c>
      <c r="L13" t="inlineStr">
        <is>
          <t>/doc/importmxt</t>
        </is>
      </c>
      <c r="N13" t="inlineStr">
        <is>
          <t>done</t>
        </is>
      </c>
      <c r="O13" t="inlineStr">
        <is>
          <t>done</t>
        </is>
      </c>
      <c r="P13" t="inlineStr">
        <is>
          <t>done</t>
        </is>
      </c>
      <c r="Q13" t="inlineStr">
        <is>
          <t>done</t>
        </is>
      </c>
      <c r="R13" t="inlineStr">
        <is>
          <t>done</t>
        </is>
      </c>
      <c r="S13" t="inlineStr">
        <is>
          <t>done</t>
        </is>
      </c>
      <c r="T13" t="inlineStr">
        <is>
          <t>Done</t>
        </is>
      </c>
    </row>
    <row r="14">
      <c r="A14" t="n">
        <v>11</v>
      </c>
      <c r="B14" t="inlineStr">
        <is>
          <t>civil-nx/gen-nx</t>
        </is>
      </c>
      <c r="C14" t="inlineStr">
        <is>
          <t>Project</t>
        </is>
      </c>
      <c r="D14" t="inlineStr">
        <is>
          <t>API</t>
        </is>
      </c>
      <c r="E14" t="inlineStr">
        <is>
          <t>Import to mct/mgt</t>
        </is>
      </c>
      <c r="L14" t="inlineStr">
        <is>
          <t>/doc/export</t>
        </is>
      </c>
      <c r="N14" t="inlineStr">
        <is>
          <t>done</t>
        </is>
      </c>
      <c r="O14" t="inlineStr">
        <is>
          <t>done</t>
        </is>
      </c>
      <c r="P14" t="inlineStr">
        <is>
          <t>done</t>
        </is>
      </c>
      <c r="Q14" t="inlineStr">
        <is>
          <t>done</t>
        </is>
      </c>
      <c r="R14" t="inlineStr">
        <is>
          <t>done</t>
        </is>
      </c>
      <c r="S14" t="inlineStr">
        <is>
          <t>done</t>
        </is>
      </c>
      <c r="T14" t="inlineStr">
        <is>
          <t>Done</t>
        </is>
      </c>
    </row>
    <row r="15">
      <c r="A15" t="n">
        <v>12</v>
      </c>
      <c r="B15" t="inlineStr">
        <is>
          <t>civil-nx/gen-nx</t>
        </is>
      </c>
      <c r="C15" t="inlineStr">
        <is>
          <t>Project</t>
        </is>
      </c>
      <c r="D15" t="inlineStr">
        <is>
          <t>API</t>
        </is>
      </c>
      <c r="E15" t="inlineStr">
        <is>
          <t>Export to Json</t>
        </is>
      </c>
      <c r="L15" t="inlineStr">
        <is>
          <t>/doc/exportmxt</t>
        </is>
      </c>
      <c r="N15" t="inlineStr">
        <is>
          <t>done</t>
        </is>
      </c>
      <c r="O15" t="inlineStr">
        <is>
          <t>done</t>
        </is>
      </c>
      <c r="P15" t="inlineStr">
        <is>
          <t>done</t>
        </is>
      </c>
      <c r="Q15" t="inlineStr">
        <is>
          <t>done</t>
        </is>
      </c>
      <c r="R15" t="inlineStr">
        <is>
          <t>done</t>
        </is>
      </c>
      <c r="S15" t="inlineStr">
        <is>
          <t>done</t>
        </is>
      </c>
      <c r="T15" t="inlineStr">
        <is>
          <t>Done</t>
        </is>
      </c>
    </row>
    <row r="16">
      <c r="A16" t="n">
        <v>13</v>
      </c>
      <c r="B16" t="inlineStr">
        <is>
          <t>civil-nx/gen-nx</t>
        </is>
      </c>
      <c r="C16" t="inlineStr">
        <is>
          <t>Project</t>
        </is>
      </c>
      <c r="D16" t="inlineStr">
        <is>
          <t>API</t>
        </is>
      </c>
      <c r="E16" t="inlineStr">
        <is>
          <t>Export to mct/mgt</t>
        </is>
      </c>
      <c r="T16" t="inlineStr">
        <is>
          <t>none</t>
        </is>
      </c>
    </row>
    <row r="17">
      <c r="A17" t="n">
        <v>14</v>
      </c>
      <c r="B17" t="inlineStr">
        <is>
          <t>civil-nx/gen-nx</t>
        </is>
      </c>
      <c r="C17" t="inlineStr">
        <is>
          <t>Project</t>
        </is>
      </c>
      <c r="D17" t="inlineStr">
        <is>
          <t>Management</t>
        </is>
      </c>
      <c r="E17" t="inlineStr">
        <is>
          <t>Project Information</t>
        </is>
      </c>
      <c r="F17" t="inlineStr">
        <is>
          <t>-</t>
        </is>
      </c>
      <c r="G17" t="inlineStr">
        <is>
          <t>-</t>
        </is>
      </c>
      <c r="L17" t="inlineStr">
        <is>
          <t>db/pjcf</t>
        </is>
      </c>
      <c r="N17" t="inlineStr">
        <is>
          <t>done</t>
        </is>
      </c>
      <c r="O17" t="inlineStr">
        <is>
          <t>done</t>
        </is>
      </c>
      <c r="P17" t="inlineStr">
        <is>
          <t>done</t>
        </is>
      </c>
      <c r="Q17" t="inlineStr">
        <is>
          <t>done</t>
        </is>
      </c>
      <c r="R17" t="inlineStr">
        <is>
          <t>done</t>
        </is>
      </c>
      <c r="S17" t="inlineStr">
        <is>
          <t>done</t>
        </is>
      </c>
      <c r="T17" t="inlineStr">
        <is>
          <t>Done</t>
        </is>
      </c>
    </row>
    <row r="18">
      <c r="A18" t="n">
        <v>15</v>
      </c>
      <c r="B18" t="inlineStr">
        <is>
          <t>civil-nx/gen-nx</t>
        </is>
      </c>
      <c r="C18" t="inlineStr">
        <is>
          <t>Project</t>
        </is>
      </c>
      <c r="D18" t="inlineStr">
        <is>
          <t>Management</t>
        </is>
      </c>
      <c r="E18" t="inlineStr">
        <is>
          <t>Preference</t>
        </is>
      </c>
      <c r="F18" t="inlineStr">
        <is>
          <t>-</t>
        </is>
      </c>
      <c r="G18" t="inlineStr">
        <is>
          <t>-</t>
        </is>
      </c>
      <c r="T18" t="inlineStr">
        <is>
          <t>none</t>
        </is>
      </c>
    </row>
    <row r="19">
      <c r="A19" t="n">
        <v>16</v>
      </c>
      <c r="B19" t="inlineStr">
        <is>
          <t>civil-nx/gen-nx</t>
        </is>
      </c>
      <c r="C19" t="inlineStr">
        <is>
          <t>Project</t>
        </is>
      </c>
      <c r="D19" t="inlineStr">
        <is>
          <t>Management</t>
        </is>
      </c>
      <c r="E19" t="inlineStr">
        <is>
          <t>Project Status</t>
        </is>
      </c>
      <c r="F19" t="inlineStr">
        <is>
          <t>-</t>
        </is>
      </c>
      <c r="G19" t="inlineStr">
        <is>
          <t>-</t>
        </is>
      </c>
      <c r="L19" t="inlineStr">
        <is>
          <t>ope/projectstatus</t>
        </is>
      </c>
      <c r="N19" t="inlineStr">
        <is>
          <t>done</t>
        </is>
      </c>
      <c r="O19" t="inlineStr">
        <is>
          <t>done</t>
        </is>
      </c>
      <c r="P19" t="inlineStr">
        <is>
          <t>done</t>
        </is>
      </c>
      <c r="Q19" t="inlineStr">
        <is>
          <t>done</t>
        </is>
      </c>
      <c r="R19" t="inlineStr">
        <is>
          <t>done</t>
        </is>
      </c>
      <c r="S19" t="inlineStr">
        <is>
          <t>done</t>
        </is>
      </c>
      <c r="T19" t="inlineStr">
        <is>
          <t>Done</t>
        </is>
      </c>
    </row>
    <row r="20">
      <c r="A20" t="n">
        <v>17</v>
      </c>
      <c r="B20" t="inlineStr">
        <is>
          <t>civil-nx/gen-nx</t>
        </is>
      </c>
      <c r="C20" t="inlineStr">
        <is>
          <t>Project</t>
        </is>
      </c>
      <c r="D20" t="inlineStr">
        <is>
          <t>Settings</t>
        </is>
      </c>
      <c r="E20" t="inlineStr">
        <is>
          <t>Unit System</t>
        </is>
      </c>
      <c r="F20" t="inlineStr">
        <is>
          <t>-</t>
        </is>
      </c>
      <c r="G20" t="inlineStr">
        <is>
          <t>-</t>
        </is>
      </c>
      <c r="L20" t="inlineStr">
        <is>
          <t>db/unit</t>
        </is>
      </c>
      <c r="N20" t="inlineStr">
        <is>
          <t>done</t>
        </is>
      </c>
      <c r="O20" t="inlineStr">
        <is>
          <t>done</t>
        </is>
      </c>
      <c r="P20" t="inlineStr">
        <is>
          <t>done</t>
        </is>
      </c>
      <c r="Q20" t="inlineStr">
        <is>
          <t>done</t>
        </is>
      </c>
      <c r="R20" t="inlineStr">
        <is>
          <t>done</t>
        </is>
      </c>
      <c r="S20" t="inlineStr">
        <is>
          <t>done</t>
        </is>
      </c>
      <c r="T20" t="inlineStr">
        <is>
          <t>Done</t>
        </is>
      </c>
    </row>
    <row r="21">
      <c r="A21" t="n">
        <v>18</v>
      </c>
      <c r="B21" t="inlineStr">
        <is>
          <t>civil-nx/gen-nx</t>
        </is>
      </c>
      <c r="C21" t="inlineStr">
        <is>
          <t>Project</t>
        </is>
      </c>
      <c r="D21" t="inlineStr">
        <is>
          <t>Bill</t>
        </is>
      </c>
      <c r="E21" t="inlineStr">
        <is>
          <t>Bill of Material</t>
        </is>
      </c>
      <c r="F21" t="inlineStr">
        <is>
          <t>-</t>
        </is>
      </c>
      <c r="G21" t="inlineStr">
        <is>
          <t>-</t>
        </is>
      </c>
      <c r="T21" t="inlineStr">
        <is>
          <t>none</t>
        </is>
      </c>
    </row>
    <row r="22">
      <c r="A22" t="n">
        <v>19</v>
      </c>
      <c r="B22" t="inlineStr">
        <is>
          <t>civil-nx/gen-nx</t>
        </is>
      </c>
      <c r="C22" t="inlineStr">
        <is>
          <t>Project</t>
        </is>
      </c>
      <c r="D22" t="inlineStr">
        <is>
          <t>API</t>
        </is>
      </c>
      <c r="E22" t="inlineStr">
        <is>
          <t>Material Color</t>
        </is>
      </c>
      <c r="L22" t="inlineStr">
        <is>
          <t>/db/co_m</t>
        </is>
      </c>
      <c r="N22" t="inlineStr">
        <is>
          <t>done</t>
        </is>
      </c>
      <c r="O22" t="inlineStr">
        <is>
          <t>done</t>
        </is>
      </c>
      <c r="P22" t="inlineStr">
        <is>
          <t>done</t>
        </is>
      </c>
      <c r="Q22" t="inlineStr">
        <is>
          <t>done</t>
        </is>
      </c>
      <c r="R22" t="inlineStr">
        <is>
          <t>done</t>
        </is>
      </c>
      <c r="S22" t="inlineStr">
        <is>
          <t>done</t>
        </is>
      </c>
      <c r="T22" t="inlineStr">
        <is>
          <t>Done</t>
        </is>
      </c>
    </row>
    <row r="23">
      <c r="A23" t="n">
        <v>20</v>
      </c>
      <c r="B23" t="inlineStr">
        <is>
          <t>civil-nx/gen-nx</t>
        </is>
      </c>
      <c r="C23" t="inlineStr">
        <is>
          <t>Project</t>
        </is>
      </c>
      <c r="D23" t="inlineStr">
        <is>
          <t>API</t>
        </is>
      </c>
      <c r="E23" t="inlineStr">
        <is>
          <t>Section Color</t>
        </is>
      </c>
      <c r="L23" t="inlineStr">
        <is>
          <t>/db/co_s</t>
        </is>
      </c>
      <c r="N23" t="inlineStr">
        <is>
          <t>done</t>
        </is>
      </c>
      <c r="O23" t="inlineStr">
        <is>
          <t>done</t>
        </is>
      </c>
      <c r="P23" t="inlineStr">
        <is>
          <t>done</t>
        </is>
      </c>
      <c r="Q23" t="inlineStr">
        <is>
          <t>done</t>
        </is>
      </c>
      <c r="R23" t="inlineStr">
        <is>
          <t>done</t>
        </is>
      </c>
      <c r="S23" t="inlineStr">
        <is>
          <t>done</t>
        </is>
      </c>
      <c r="T23" t="inlineStr">
        <is>
          <t>Done</t>
        </is>
      </c>
    </row>
    <row r="24">
      <c r="A24" t="n">
        <v>21</v>
      </c>
      <c r="B24" t="inlineStr">
        <is>
          <t>civil-nx/gen-nx</t>
        </is>
      </c>
      <c r="C24" t="inlineStr">
        <is>
          <t>Project</t>
        </is>
      </c>
      <c r="D24" t="inlineStr">
        <is>
          <t>API</t>
        </is>
      </c>
      <c r="E24" t="inlineStr">
        <is>
          <t>Thickness Color</t>
        </is>
      </c>
      <c r="L24" t="inlineStr">
        <is>
          <t>/db/co_t</t>
        </is>
      </c>
      <c r="N24" t="inlineStr">
        <is>
          <t>done</t>
        </is>
      </c>
      <c r="O24" t="inlineStr">
        <is>
          <t>done</t>
        </is>
      </c>
      <c r="P24" t="inlineStr">
        <is>
          <t>done</t>
        </is>
      </c>
      <c r="Q24" t="inlineStr">
        <is>
          <t>done</t>
        </is>
      </c>
      <c r="R24" t="inlineStr">
        <is>
          <t>done</t>
        </is>
      </c>
      <c r="S24" t="inlineStr">
        <is>
          <t>done</t>
        </is>
      </c>
      <c r="T24" t="inlineStr">
        <is>
          <t>Done</t>
        </is>
      </c>
    </row>
    <row r="25">
      <c r="A25" t="n">
        <v>22</v>
      </c>
      <c r="B25" t="inlineStr">
        <is>
          <t>civil-nx/gen-nx</t>
        </is>
      </c>
      <c r="C25" t="inlineStr">
        <is>
          <t>Project</t>
        </is>
      </c>
      <c r="D25" t="inlineStr">
        <is>
          <t>API</t>
        </is>
      </c>
      <c r="E25" t="inlineStr">
        <is>
          <t>Floor Load Color</t>
        </is>
      </c>
      <c r="L25" t="inlineStr">
        <is>
          <t>/db/co_f</t>
        </is>
      </c>
      <c r="N25" t="inlineStr">
        <is>
          <t>done</t>
        </is>
      </c>
      <c r="O25" t="inlineStr">
        <is>
          <t>done</t>
        </is>
      </c>
      <c r="P25" t="inlineStr">
        <is>
          <t>done</t>
        </is>
      </c>
      <c r="Q25" t="inlineStr">
        <is>
          <t>done</t>
        </is>
      </c>
      <c r="R25" t="inlineStr">
        <is>
          <t>done</t>
        </is>
      </c>
      <c r="S25" t="inlineStr">
        <is>
          <t>done</t>
        </is>
      </c>
      <c r="T25" t="inlineStr">
        <is>
          <t>Done</t>
        </is>
      </c>
    </row>
    <row r="26">
      <c r="A26" t="n">
        <v>23</v>
      </c>
      <c r="B26" t="inlineStr">
        <is>
          <t>civil-nx/gen-nx</t>
        </is>
      </c>
      <c r="C26" t="inlineStr">
        <is>
          <t>View</t>
        </is>
      </c>
      <c r="D26" t="inlineStr">
        <is>
          <t>View</t>
        </is>
      </c>
      <c r="E26" t="inlineStr">
        <is>
          <t>View</t>
        </is>
      </c>
      <c r="F26" t="inlineStr">
        <is>
          <t>Initial View</t>
        </is>
      </c>
      <c r="T26" t="inlineStr">
        <is>
          <t>none</t>
        </is>
      </c>
    </row>
    <row r="27">
      <c r="A27" t="n">
        <v>24</v>
      </c>
      <c r="B27" t="inlineStr">
        <is>
          <t>civil-nx/gen-nx</t>
        </is>
      </c>
      <c r="C27" t="inlineStr">
        <is>
          <t>View</t>
        </is>
      </c>
      <c r="D27" t="inlineStr">
        <is>
          <t>View</t>
        </is>
      </c>
      <c r="E27" t="inlineStr">
        <is>
          <t>View</t>
        </is>
      </c>
      <c r="F27" t="inlineStr">
        <is>
          <t>Previous View</t>
        </is>
      </c>
      <c r="T27" t="inlineStr">
        <is>
          <t>none</t>
        </is>
      </c>
    </row>
    <row r="28">
      <c r="A28" t="n">
        <v>25</v>
      </c>
      <c r="B28" t="inlineStr">
        <is>
          <t>civil-nx/gen-nx</t>
        </is>
      </c>
      <c r="C28" t="inlineStr">
        <is>
          <t>View</t>
        </is>
      </c>
      <c r="D28" t="inlineStr">
        <is>
          <t>View</t>
        </is>
      </c>
      <c r="E28" t="inlineStr">
        <is>
          <t>View Point</t>
        </is>
      </c>
      <c r="F28" t="inlineStr">
        <is>
          <t>Iso</t>
        </is>
      </c>
      <c r="T28" t="inlineStr">
        <is>
          <t>none</t>
        </is>
      </c>
    </row>
    <row r="29">
      <c r="A29" t="n">
        <v>26</v>
      </c>
      <c r="B29" t="inlineStr">
        <is>
          <t>civil-nx/gen-nx</t>
        </is>
      </c>
      <c r="C29" t="inlineStr">
        <is>
          <t>View</t>
        </is>
      </c>
      <c r="D29" t="inlineStr">
        <is>
          <t>View</t>
        </is>
      </c>
      <c r="E29" t="inlineStr">
        <is>
          <t>View Point</t>
        </is>
      </c>
      <c r="F29" t="inlineStr">
        <is>
          <t>Left (-X)</t>
        </is>
      </c>
      <c r="T29" t="inlineStr">
        <is>
          <t>none</t>
        </is>
      </c>
    </row>
    <row r="30">
      <c r="A30" t="n">
        <v>27</v>
      </c>
      <c r="B30" t="inlineStr">
        <is>
          <t>civil-nx/gen-nx</t>
        </is>
      </c>
      <c r="C30" t="inlineStr">
        <is>
          <t>View</t>
        </is>
      </c>
      <c r="D30" t="inlineStr">
        <is>
          <t>View</t>
        </is>
      </c>
      <c r="E30" t="inlineStr">
        <is>
          <t>View Point</t>
        </is>
      </c>
      <c r="F30" t="inlineStr">
        <is>
          <t>Right (+X)</t>
        </is>
      </c>
      <c r="T30" t="inlineStr">
        <is>
          <t>none</t>
        </is>
      </c>
    </row>
    <row r="31">
      <c r="A31" t="n">
        <v>28</v>
      </c>
      <c r="B31" t="inlineStr">
        <is>
          <t>civil-nx/gen-nx</t>
        </is>
      </c>
      <c r="C31" t="inlineStr">
        <is>
          <t>View</t>
        </is>
      </c>
      <c r="D31" t="inlineStr">
        <is>
          <t>View</t>
        </is>
      </c>
      <c r="E31" t="inlineStr">
        <is>
          <t>View Point</t>
        </is>
      </c>
      <c r="F31" t="inlineStr">
        <is>
          <t>Front (-Y)</t>
        </is>
      </c>
      <c r="T31" t="inlineStr">
        <is>
          <t>none</t>
        </is>
      </c>
    </row>
    <row r="32">
      <c r="A32" t="n">
        <v>29</v>
      </c>
      <c r="B32" t="inlineStr">
        <is>
          <t>civil-nx/gen-nx</t>
        </is>
      </c>
      <c r="C32" t="inlineStr">
        <is>
          <t>View</t>
        </is>
      </c>
      <c r="D32" t="inlineStr">
        <is>
          <t>View</t>
        </is>
      </c>
      <c r="E32" t="inlineStr">
        <is>
          <t>View Point</t>
        </is>
      </c>
      <c r="F32" t="inlineStr">
        <is>
          <t>Rear (+Y)</t>
        </is>
      </c>
      <c r="T32" t="inlineStr">
        <is>
          <t>none</t>
        </is>
      </c>
    </row>
    <row r="33">
      <c r="A33" t="n">
        <v>30</v>
      </c>
      <c r="B33" t="inlineStr">
        <is>
          <t>civil-nx/gen-nx</t>
        </is>
      </c>
      <c r="C33" t="inlineStr">
        <is>
          <t>Node/Element</t>
        </is>
      </c>
      <c r="D33" t="inlineStr">
        <is>
          <t>Mesh</t>
        </is>
      </c>
      <c r="E33" t="inlineStr">
        <is>
          <t>Mesh</t>
        </is>
      </c>
      <c r="F33" t="inlineStr">
        <is>
          <t>Auto-mesh</t>
        </is>
      </c>
      <c r="T33" t="inlineStr">
        <is>
          <t>none</t>
        </is>
      </c>
    </row>
    <row r="34">
      <c r="A34" t="n">
        <v>31</v>
      </c>
      <c r="B34" t="inlineStr">
        <is>
          <t>gen-nx</t>
        </is>
      </c>
      <c r="C34" t="inlineStr">
        <is>
          <t>Misc.</t>
        </is>
      </c>
      <c r="D34" t="inlineStr">
        <is>
          <t>Etc</t>
        </is>
      </c>
      <c r="E34" t="inlineStr">
        <is>
          <t>Imperfection</t>
        </is>
      </c>
      <c r="F34" t="inlineStr">
        <is>
          <t>Imperfection Data</t>
        </is>
      </c>
      <c r="T34" t="inlineStr">
        <is>
          <t>none</t>
        </is>
      </c>
    </row>
    <row r="35">
      <c r="A35" t="n">
        <v>32</v>
      </c>
      <c r="B35" t="inlineStr">
        <is>
          <t>civil-nx/gen-nx</t>
        </is>
      </c>
      <c r="C35" t="inlineStr">
        <is>
          <t>View</t>
        </is>
      </c>
      <c r="D35" t="inlineStr">
        <is>
          <t>View</t>
        </is>
      </c>
      <c r="E35" t="inlineStr">
        <is>
          <t>View</t>
        </is>
      </c>
      <c r="F35" t="inlineStr">
        <is>
          <t>Redraw</t>
        </is>
      </c>
      <c r="H35" t="inlineStr">
        <is>
          <t>view</t>
        </is>
      </c>
      <c r="T35" t="inlineStr">
        <is>
          <t>none</t>
        </is>
      </c>
      <c r="Z35">
        <f>IF(OR(K34="",K34="TABLE"),"",
_xlfn.TEXTJOIN(", ",TRUE,
IF(E34&lt;&gt;"",E34&amp;K34,""),
IF(F34&lt;&gt;"",F34&amp;K34,""),
IF(G34&lt;&gt;"",G34&amp;K34,"")
))</f>
        <v/>
      </c>
      <c r="AA35">
        <f>IF(K34="","",IF(K34="TABLE","",K34))</f>
        <v/>
      </c>
      <c r="AB35">
        <f>IF(ISNUMBER(SEARCH("기존변경필요",SUBSTITUTE(TRIM(V34),CHAR(10)," "))),"",
IFERROR(
  _xlfn.XLOOKUP(AA34,'기존 end point'!B:B,'기존 end point'!B:B,,0),
""))</f>
        <v/>
      </c>
    </row>
    <row r="36">
      <c r="A36" t="n">
        <v>33</v>
      </c>
      <c r="B36" t="inlineStr">
        <is>
          <t>civil-nx/gen-nx</t>
        </is>
      </c>
      <c r="C36" t="inlineStr">
        <is>
          <t>View</t>
        </is>
      </c>
      <c r="D36" t="inlineStr">
        <is>
          <t>View</t>
        </is>
      </c>
      <c r="E36" t="inlineStr">
        <is>
          <t>View Point</t>
        </is>
      </c>
      <c r="F36" t="inlineStr">
        <is>
          <t>Top (+Z)</t>
        </is>
      </c>
      <c r="H36" t="inlineStr">
        <is>
          <t>view</t>
        </is>
      </c>
      <c r="T36" t="inlineStr">
        <is>
          <t>none</t>
        </is>
      </c>
      <c r="Z36">
        <f>IF(OR(K35="",K35="TABLE"),"",
_xlfn.TEXTJOIN(", ",TRUE,
IF(E35&lt;&gt;"",E35&amp;K35,""),
IF(F35&lt;&gt;"",F35&amp;K35,""),
IF(G35&lt;&gt;"",G35&amp;K35,"")
))</f>
        <v/>
      </c>
      <c r="AA36">
        <f>IF(K35="","",IF(K35="TABLE","",K35))</f>
        <v/>
      </c>
      <c r="AB36">
        <f>IF(ISNUMBER(SEARCH("기존변경필요",SUBSTITUTE(TRIM(V35),CHAR(10)," "))),"",
IFERROR(
  _xlfn.XLOOKUP(AA35,'기존 end point'!B:B,'기존 end point'!B:B,,0),
""))</f>
        <v/>
      </c>
    </row>
    <row r="37">
      <c r="A37" t="n">
        <v>34</v>
      </c>
      <c r="B37" t="inlineStr">
        <is>
          <t>civil-nx/gen-nx</t>
        </is>
      </c>
      <c r="C37" t="inlineStr">
        <is>
          <t>View</t>
        </is>
      </c>
      <c r="D37" t="inlineStr">
        <is>
          <t>View</t>
        </is>
      </c>
      <c r="E37" t="inlineStr">
        <is>
          <t>View Point</t>
        </is>
      </c>
      <c r="F37" t="inlineStr">
        <is>
          <t>Bottom (-Z)</t>
        </is>
      </c>
      <c r="H37" t="inlineStr">
        <is>
          <t>view</t>
        </is>
      </c>
      <c r="T37" t="inlineStr">
        <is>
          <t>none</t>
        </is>
      </c>
      <c r="Z37">
        <f>IF(OR(K36="",K36="TABLE"),"",
_xlfn.TEXTJOIN(", ",TRUE,
IF(E36&lt;&gt;"",E36&amp;K36,""),
IF(F36&lt;&gt;"",F36&amp;K36,""),
IF(G36&lt;&gt;"",G36&amp;K36,"")
))</f>
        <v/>
      </c>
      <c r="AA37">
        <f>IF(K36="","",IF(K36="TABLE","",K36))</f>
        <v/>
      </c>
      <c r="AB37">
        <f>IF(ISNUMBER(SEARCH("기존변경필요",SUBSTITUTE(TRIM(V36),CHAR(10)," "))),"",
IFERROR(
  _xlfn.XLOOKUP(AA36,'기존 end point'!B:B,'기존 end point'!B:B,,0),
""))</f>
        <v/>
      </c>
    </row>
    <row r="38">
      <c r="A38" t="n">
        <v>35</v>
      </c>
      <c r="B38" t="inlineStr">
        <is>
          <t>civil-nx/gen-nx</t>
        </is>
      </c>
      <c r="C38" t="inlineStr">
        <is>
          <t>View</t>
        </is>
      </c>
      <c r="D38" t="inlineStr">
        <is>
          <t>View</t>
        </is>
      </c>
      <c r="E38" t="inlineStr">
        <is>
          <t>View Point</t>
        </is>
      </c>
      <c r="F38" t="inlineStr">
        <is>
          <t>Rotate Down</t>
        </is>
      </c>
      <c r="H38" t="inlineStr">
        <is>
          <t>view</t>
        </is>
      </c>
      <c r="T38" t="inlineStr">
        <is>
          <t>none</t>
        </is>
      </c>
      <c r="Z38">
        <f>IF(OR(K37="",K37="TABLE"),"",
_xlfn.TEXTJOIN(", ",TRUE,
IF(E37&lt;&gt;"",E37&amp;K37,""),
IF(F37&lt;&gt;"",F37&amp;K37,""),
IF(G37&lt;&gt;"",G37&amp;K37,"")
))</f>
        <v/>
      </c>
      <c r="AA38">
        <f>IF(K37="","",IF(K37="TABLE","",K37))</f>
        <v/>
      </c>
      <c r="AB38">
        <f>IF(ISNUMBER(SEARCH("기존변경필요",SUBSTITUTE(TRIM(V37),CHAR(10)," "))),"",
IFERROR(
  _xlfn.XLOOKUP(AA37,'기존 end point'!B:B,'기존 end point'!B:B,,0),
""))</f>
        <v/>
      </c>
    </row>
    <row r="39">
      <c r="A39" t="n">
        <v>36</v>
      </c>
      <c r="B39" t="inlineStr">
        <is>
          <t>civil-nx/gen-nx</t>
        </is>
      </c>
      <c r="C39" t="inlineStr">
        <is>
          <t>View</t>
        </is>
      </c>
      <c r="D39" t="inlineStr">
        <is>
          <t>View</t>
        </is>
      </c>
      <c r="E39" t="inlineStr">
        <is>
          <t>Pan</t>
        </is>
      </c>
      <c r="F39" t="inlineStr">
        <is>
          <t>Pan</t>
        </is>
      </c>
      <c r="H39" t="inlineStr">
        <is>
          <t>view</t>
        </is>
      </c>
      <c r="T39" t="inlineStr">
        <is>
          <t>none</t>
        </is>
      </c>
      <c r="Z39">
        <f>IF(OR(K38="",K38="TABLE"),"",
_xlfn.TEXTJOIN(", ",TRUE,
IF(E38&lt;&gt;"",E38&amp;K38,""),
IF(F38&lt;&gt;"",F38&amp;K38,""),
IF(G38&lt;&gt;"",G38&amp;K38,"")
))</f>
        <v/>
      </c>
      <c r="AA39">
        <f>IF(K38="","",IF(K38="TABLE","",K38))</f>
        <v/>
      </c>
      <c r="AB39">
        <f>IF(ISNUMBER(SEARCH("기존변경필요",SUBSTITUTE(TRIM(V38),CHAR(10)," "))),"",
IFERROR(
  _xlfn.XLOOKUP(AA38,'기존 end point'!B:B,'기존 end point'!B:B,,0),
""))</f>
        <v/>
      </c>
    </row>
    <row r="40">
      <c r="A40" t="n">
        <v>37</v>
      </c>
      <c r="B40" t="inlineStr">
        <is>
          <t>civil-nx/gen-nx</t>
        </is>
      </c>
      <c r="C40" t="inlineStr">
        <is>
          <t>View</t>
        </is>
      </c>
      <c r="D40" t="inlineStr">
        <is>
          <t>View</t>
        </is>
      </c>
      <c r="E40" t="inlineStr">
        <is>
          <t>Pan</t>
        </is>
      </c>
      <c r="F40" t="inlineStr">
        <is>
          <t>Left</t>
        </is>
      </c>
      <c r="H40" t="inlineStr">
        <is>
          <t>view</t>
        </is>
      </c>
      <c r="T40" t="inlineStr">
        <is>
          <t>none</t>
        </is>
      </c>
      <c r="Z40">
        <f>IF(OR(K39="",K39="TABLE"),"",
_xlfn.TEXTJOIN(", ",TRUE,
IF(E39&lt;&gt;"",E39&amp;K39,""),
IF(F39&lt;&gt;"",F39&amp;K39,""),
IF(G39&lt;&gt;"",G39&amp;K39,"")
))</f>
        <v/>
      </c>
      <c r="AA40">
        <f>IF(K39="","",IF(K39="TABLE","",K39))</f>
        <v/>
      </c>
      <c r="AB40">
        <f>IF(ISNUMBER(SEARCH("기존변경필요",SUBSTITUTE(TRIM(V39),CHAR(10)," "))),"",
IFERROR(
  _xlfn.XLOOKUP(AA39,'기존 end point'!B:B,'기존 end point'!B:B,,0),
""))</f>
        <v/>
      </c>
    </row>
    <row r="41">
      <c r="A41" t="n">
        <v>38</v>
      </c>
      <c r="B41" t="inlineStr">
        <is>
          <t>civil-nx/gen-nx</t>
        </is>
      </c>
      <c r="C41" t="inlineStr">
        <is>
          <t>View</t>
        </is>
      </c>
      <c r="D41" t="inlineStr">
        <is>
          <t>View</t>
        </is>
      </c>
      <c r="E41" t="inlineStr">
        <is>
          <t>Pan</t>
        </is>
      </c>
      <c r="F41" t="inlineStr">
        <is>
          <t>Right</t>
        </is>
      </c>
      <c r="H41" t="inlineStr">
        <is>
          <t>view</t>
        </is>
      </c>
      <c r="T41" t="inlineStr">
        <is>
          <t>none</t>
        </is>
      </c>
      <c r="Z41">
        <f>IF(OR(K40="",K40="TABLE"),"",
_xlfn.TEXTJOIN(", ",TRUE,
IF(E40&lt;&gt;"",E40&amp;K40,""),
IF(F40&lt;&gt;"",F40&amp;K40,""),
IF(G40&lt;&gt;"",G40&amp;K40,"")
))</f>
        <v/>
      </c>
      <c r="AA41">
        <f>IF(K40="","",IF(K40="TABLE","",K40))</f>
        <v/>
      </c>
      <c r="AB41">
        <f>IF(ISNUMBER(SEARCH("기존변경필요",SUBSTITUTE(TRIM(V40),CHAR(10)," "))),"",
IFERROR(
  _xlfn.XLOOKUP(AA40,'기존 end point'!B:B,'기존 end point'!B:B,,0),
""))</f>
        <v/>
      </c>
    </row>
    <row r="42">
      <c r="A42" t="n">
        <v>39</v>
      </c>
      <c r="B42" t="inlineStr">
        <is>
          <t>civil-nx/gen-nx</t>
        </is>
      </c>
      <c r="C42" t="inlineStr">
        <is>
          <t>View</t>
        </is>
      </c>
      <c r="D42" t="inlineStr">
        <is>
          <t>View</t>
        </is>
      </c>
      <c r="E42" t="inlineStr">
        <is>
          <t>Pan</t>
        </is>
      </c>
      <c r="F42" t="inlineStr">
        <is>
          <t>Up</t>
        </is>
      </c>
      <c r="H42" t="inlineStr">
        <is>
          <t>view</t>
        </is>
      </c>
      <c r="T42" t="inlineStr">
        <is>
          <t>none</t>
        </is>
      </c>
      <c r="Z42">
        <f>IF(OR(K41="",K41="TABLE"),"",
_xlfn.TEXTJOIN(", ",TRUE,
IF(E41&lt;&gt;"",E41&amp;K41,""),
IF(F41&lt;&gt;"",F41&amp;K41,""),
IF(G41&lt;&gt;"",G41&amp;K41,"")
))</f>
        <v/>
      </c>
      <c r="AA42">
        <f>IF(K41="","",IF(K41="TABLE","",K41))</f>
        <v/>
      </c>
      <c r="AB42">
        <f>IF(ISNUMBER(SEARCH("기존변경필요",SUBSTITUTE(TRIM(V41),CHAR(10)," "))),"",
IFERROR(
  _xlfn.XLOOKUP(AA41,'기존 end point'!B:B,'기존 end point'!B:B,,0),
""))</f>
        <v/>
      </c>
    </row>
    <row r="43">
      <c r="A43" t="n">
        <v>40</v>
      </c>
      <c r="B43" t="inlineStr">
        <is>
          <t>civil-nx/gen-nx</t>
        </is>
      </c>
      <c r="C43" t="inlineStr">
        <is>
          <t>View</t>
        </is>
      </c>
      <c r="D43" t="inlineStr">
        <is>
          <t>View</t>
        </is>
      </c>
      <c r="E43" t="inlineStr">
        <is>
          <t>Pan</t>
        </is>
      </c>
      <c r="F43" t="inlineStr">
        <is>
          <t>Down</t>
        </is>
      </c>
      <c r="H43" t="inlineStr">
        <is>
          <t>view</t>
        </is>
      </c>
      <c r="T43" t="inlineStr">
        <is>
          <t>none</t>
        </is>
      </c>
      <c r="Z43">
        <f>IF(OR(K42="",K42="TABLE"),"",
_xlfn.TEXTJOIN(", ",TRUE,
IF(E42&lt;&gt;"",E42&amp;K42,""),
IF(F42&lt;&gt;"",F42&amp;K42,""),
IF(G42&lt;&gt;"",G42&amp;K42,"")
))</f>
        <v/>
      </c>
      <c r="AA43">
        <f>IF(K42="","",IF(K42="TABLE","",K42))</f>
        <v/>
      </c>
      <c r="AB43">
        <f>IF(ISNUMBER(SEARCH("기존변경필요",SUBSTITUTE(TRIM(V42),CHAR(10)," "))),"",
IFERROR(
  _xlfn.XLOOKUP(AA42,'기존 end point'!B:B,'기존 end point'!B:B,,0),
""))</f>
        <v/>
      </c>
    </row>
    <row r="44">
      <c r="A44" t="n">
        <v>41</v>
      </c>
      <c r="B44" t="inlineStr">
        <is>
          <t>civil-nx/gen-nx</t>
        </is>
      </c>
      <c r="C44" t="inlineStr">
        <is>
          <t>View</t>
        </is>
      </c>
      <c r="D44" t="inlineStr">
        <is>
          <t>View</t>
        </is>
      </c>
      <c r="E44" t="inlineStr">
        <is>
          <t>Zoom</t>
        </is>
      </c>
      <c r="F44" t="inlineStr">
        <is>
          <t>Zoom</t>
        </is>
      </c>
      <c r="H44" t="inlineStr">
        <is>
          <t>view</t>
        </is>
      </c>
      <c r="T44" t="inlineStr">
        <is>
          <t>none</t>
        </is>
      </c>
      <c r="Z44">
        <f>IF(OR(K43="",K43="TABLE"),"",
_xlfn.TEXTJOIN(", ",TRUE,
IF(E43&lt;&gt;"",E43&amp;K43,""),
IF(F43&lt;&gt;"",F43&amp;K43,""),
IF(G43&lt;&gt;"",G43&amp;K43,"")
))</f>
        <v/>
      </c>
      <c r="AA44">
        <f>IF(K43="","",IF(K43="TABLE","",K43))</f>
        <v/>
      </c>
      <c r="AB44">
        <f>IF(ISNUMBER(SEARCH("기존변경필요",SUBSTITUTE(TRIM(V43),CHAR(10)," "))),"",
IFERROR(
  _xlfn.XLOOKUP(AA43,'기존 end point'!B:B,'기존 end point'!B:B,,0),
""))</f>
        <v/>
      </c>
    </row>
    <row r="45">
      <c r="A45" t="n">
        <v>42</v>
      </c>
      <c r="B45" t="inlineStr">
        <is>
          <t>civil-nx/gen-nx</t>
        </is>
      </c>
      <c r="C45" t="inlineStr">
        <is>
          <t>View</t>
        </is>
      </c>
      <c r="D45" t="inlineStr">
        <is>
          <t>View</t>
        </is>
      </c>
      <c r="E45" t="inlineStr">
        <is>
          <t>Zoom</t>
        </is>
      </c>
      <c r="F45" t="inlineStr">
        <is>
          <t>Fit</t>
        </is>
      </c>
      <c r="H45" t="inlineStr">
        <is>
          <t>view</t>
        </is>
      </c>
      <c r="T45" t="inlineStr">
        <is>
          <t>none</t>
        </is>
      </c>
      <c r="Z45">
        <f>IF(OR(K44="",K44="TABLE"),"",
_xlfn.TEXTJOIN(", ",TRUE,
IF(E44&lt;&gt;"",E44&amp;K44,""),
IF(F44&lt;&gt;"",F44&amp;K44,""),
IF(G44&lt;&gt;"",G44&amp;K44,"")
))</f>
        <v/>
      </c>
      <c r="AA45">
        <f>IF(K44="","",IF(K44="TABLE","",K44))</f>
        <v/>
      </c>
      <c r="AB45">
        <f>IF(ISNUMBER(SEARCH("기존변경필요",SUBSTITUTE(TRIM(V44),CHAR(10)," "))),"",
IFERROR(
  _xlfn.XLOOKUP(AA44,'기존 end point'!B:B,'기존 end point'!B:B,,0),
""))</f>
        <v/>
      </c>
    </row>
    <row r="46">
      <c r="A46" t="n">
        <v>43</v>
      </c>
      <c r="B46" t="inlineStr">
        <is>
          <t>civil-nx/gen-nx</t>
        </is>
      </c>
      <c r="C46" t="inlineStr">
        <is>
          <t>View</t>
        </is>
      </c>
      <c r="D46" t="inlineStr">
        <is>
          <t>View</t>
        </is>
      </c>
      <c r="E46" t="inlineStr">
        <is>
          <t>Zoom</t>
        </is>
      </c>
      <c r="F46" t="inlineStr">
        <is>
          <t>Window</t>
        </is>
      </c>
      <c r="H46" t="inlineStr">
        <is>
          <t>view</t>
        </is>
      </c>
      <c r="T46" t="inlineStr">
        <is>
          <t>none</t>
        </is>
      </c>
      <c r="Z46">
        <f>IF(OR(K45="",K45="TABLE"),"",
_xlfn.TEXTJOIN(", ",TRUE,
IF(E45&lt;&gt;"",E45&amp;K45,""),
IF(F45&lt;&gt;"",F45&amp;K45,""),
IF(G45&lt;&gt;"",G45&amp;K45,"")
))</f>
        <v/>
      </c>
      <c r="AA46">
        <f>IF(K45="","",IF(K45="TABLE","",K45))</f>
        <v/>
      </c>
      <c r="AB46">
        <f>IF(ISNUMBER(SEARCH("기존변경필요",SUBSTITUTE(TRIM(V45),CHAR(10)," "))),"",
IFERROR(
  _xlfn.XLOOKUP(AA45,'기존 end point'!B:B,'기존 end point'!B:B,,0),
""))</f>
        <v/>
      </c>
    </row>
    <row r="47">
      <c r="A47" t="n">
        <v>44</v>
      </c>
      <c r="B47" t="inlineStr">
        <is>
          <t>civil-nx/gen-nx</t>
        </is>
      </c>
      <c r="C47" t="inlineStr">
        <is>
          <t>View</t>
        </is>
      </c>
      <c r="D47" t="inlineStr">
        <is>
          <t>View</t>
        </is>
      </c>
      <c r="E47" t="inlineStr">
        <is>
          <t>Zoom</t>
        </is>
      </c>
      <c r="F47" t="inlineStr">
        <is>
          <t>In</t>
        </is>
      </c>
      <c r="H47" t="inlineStr">
        <is>
          <t>view</t>
        </is>
      </c>
      <c r="T47" t="inlineStr">
        <is>
          <t>none</t>
        </is>
      </c>
      <c r="Z47">
        <f>IF(OR(K46="",K46="TABLE"),"",
_xlfn.TEXTJOIN(", ",TRUE,
IF(E46&lt;&gt;"",E46&amp;K46,""),
IF(F46&lt;&gt;"",F46&amp;K46,""),
IF(G46&lt;&gt;"",G46&amp;K46,"")
))</f>
        <v/>
      </c>
      <c r="AA47">
        <f>IF(K46="","",IF(K46="TABLE","",K46))</f>
        <v/>
      </c>
      <c r="AB47">
        <f>IF(ISNUMBER(SEARCH("기존변경필요",SUBSTITUTE(TRIM(V46),CHAR(10)," "))),"",
IFERROR(
  _xlfn.XLOOKUP(AA46,'기존 end point'!B:B,'기존 end point'!B:B,,0),
""))</f>
        <v/>
      </c>
    </row>
    <row r="48">
      <c r="A48" t="n">
        <v>45</v>
      </c>
      <c r="B48" t="inlineStr">
        <is>
          <t>civil-nx/gen-nx</t>
        </is>
      </c>
      <c r="C48" t="inlineStr">
        <is>
          <t>View</t>
        </is>
      </c>
      <c r="D48" t="inlineStr">
        <is>
          <t>View</t>
        </is>
      </c>
      <c r="E48" t="inlineStr">
        <is>
          <t>Zoom</t>
        </is>
      </c>
      <c r="F48" t="inlineStr">
        <is>
          <t>Out</t>
        </is>
      </c>
      <c r="H48" t="inlineStr">
        <is>
          <t>view</t>
        </is>
      </c>
      <c r="T48" t="inlineStr">
        <is>
          <t>none</t>
        </is>
      </c>
      <c r="Z48">
        <f>IF(OR(K47="",K47="TABLE"),"",
_xlfn.TEXTJOIN(", ",TRUE,
IF(E47&lt;&gt;"",E47&amp;K47,""),
IF(F47&lt;&gt;"",F47&amp;K47,""),
IF(G47&lt;&gt;"",G47&amp;K47,"")
))</f>
        <v/>
      </c>
      <c r="AA48">
        <f>IF(K47="","",IF(K47="TABLE","",K47))</f>
        <v/>
      </c>
      <c r="AB48">
        <f>IF(ISNUMBER(SEARCH("기존변경필요",SUBSTITUTE(TRIM(V47),CHAR(10)," "))),"",
IFERROR(
  _xlfn.XLOOKUP(AA47,'기존 end point'!B:B,'기존 end point'!B:B,,0),
""))</f>
        <v/>
      </c>
    </row>
    <row r="49">
      <c r="A49" t="n">
        <v>46</v>
      </c>
      <c r="B49" t="inlineStr">
        <is>
          <t>civil-nx/gen-nx</t>
        </is>
      </c>
      <c r="C49" t="inlineStr">
        <is>
          <t>View</t>
        </is>
      </c>
      <c r="D49" t="inlineStr">
        <is>
          <t>View</t>
        </is>
      </c>
      <c r="E49" t="inlineStr">
        <is>
          <t>Zoom</t>
        </is>
      </c>
      <c r="F49" t="inlineStr">
        <is>
          <t>Auto Fitting</t>
        </is>
      </c>
      <c r="H49" t="inlineStr">
        <is>
          <t>view</t>
        </is>
      </c>
      <c r="T49" t="inlineStr">
        <is>
          <t>none</t>
        </is>
      </c>
      <c r="Z49">
        <f>IF(OR(K48="",K48="TABLE"),"",
_xlfn.TEXTJOIN(", ",TRUE,
IF(E48&lt;&gt;"",E48&amp;K48,""),
IF(F48&lt;&gt;"",F48&amp;K48,""),
IF(G48&lt;&gt;"",G48&amp;K48,"")
))</f>
        <v/>
      </c>
      <c r="AA49">
        <f>IF(K48="","",IF(K48="TABLE","",K48))</f>
        <v/>
      </c>
      <c r="AB49">
        <f>IF(ISNUMBER(SEARCH("기존변경필요",SUBSTITUTE(TRIM(V48),CHAR(10)," "))),"",
IFERROR(
  _xlfn.XLOOKUP(AA48,'기존 end point'!B:B,'기존 end point'!B:B,,0),
""))</f>
        <v/>
      </c>
    </row>
    <row r="50">
      <c r="A50" t="n">
        <v>47</v>
      </c>
      <c r="B50" t="inlineStr">
        <is>
          <t>civil-nx/gen-nx</t>
        </is>
      </c>
      <c r="C50" t="inlineStr">
        <is>
          <t>View</t>
        </is>
      </c>
      <c r="D50" t="inlineStr">
        <is>
          <t>View</t>
        </is>
      </c>
      <c r="E50" t="inlineStr">
        <is>
          <t>Rotate</t>
        </is>
      </c>
      <c r="H50" t="inlineStr">
        <is>
          <t>view</t>
        </is>
      </c>
      <c r="T50" t="inlineStr">
        <is>
          <t>none</t>
        </is>
      </c>
      <c r="Z50">
        <f>IF(OR(K49="",K49="TABLE"),"",
_xlfn.TEXTJOIN(", ",TRUE,
IF(E49&lt;&gt;"",E49&amp;K49,""),
IF(F49&lt;&gt;"",F49&amp;K49,""),
IF(G49&lt;&gt;"",G49&amp;K49,"")
))</f>
        <v/>
      </c>
      <c r="AA50">
        <f>IF(K49="","",IF(K49="TABLE","",K49))</f>
        <v/>
      </c>
      <c r="AB50">
        <f>IF(ISNUMBER(SEARCH("기존변경필요",SUBSTITUTE(TRIM(V49),CHAR(10)," "))),"",
IFERROR(
  _xlfn.XLOOKUP(AA49,'기존 end point'!B:B,'기존 end point'!B:B,,0),
""))</f>
        <v/>
      </c>
    </row>
    <row r="51">
      <c r="A51" t="n">
        <v>48</v>
      </c>
      <c r="B51" t="inlineStr">
        <is>
          <t>civil-nx/gen-nx</t>
        </is>
      </c>
      <c r="C51" t="inlineStr">
        <is>
          <t>View</t>
        </is>
      </c>
      <c r="D51" t="inlineStr">
        <is>
          <t>View</t>
        </is>
      </c>
      <c r="E51" t="inlineStr">
        <is>
          <t>Named</t>
        </is>
      </c>
      <c r="F51" t="inlineStr">
        <is>
          <t>Named View</t>
        </is>
      </c>
      <c r="H51" t="inlineStr">
        <is>
          <t>view</t>
        </is>
      </c>
      <c r="T51" t="inlineStr">
        <is>
          <t>none</t>
        </is>
      </c>
      <c r="Z51">
        <f>IF(OR(K50="",K50="TABLE"),"",
_xlfn.TEXTJOIN(", ",TRUE,
IF(E50&lt;&gt;"",E50&amp;K50,""),
IF(F50&lt;&gt;"",F50&amp;K50,""),
IF(G50&lt;&gt;"",G50&amp;K50,"")
))</f>
        <v/>
      </c>
      <c r="AA51">
        <f>IF(K50="","",IF(K50="TABLE","",K50))</f>
        <v/>
      </c>
      <c r="AB51">
        <f>IF(ISNUMBER(SEARCH("기존변경필요",SUBSTITUTE(TRIM(V50),CHAR(10)," "))),"",
IFERROR(
  _xlfn.XLOOKUP(AA50,'기존 end point'!B:B,'기존 end point'!B:B,,0),
""))</f>
        <v/>
      </c>
    </row>
    <row r="52">
      <c r="A52" t="n">
        <v>49</v>
      </c>
      <c r="B52" t="inlineStr">
        <is>
          <t>civil-nx/gen-nx</t>
        </is>
      </c>
      <c r="C52" t="inlineStr">
        <is>
          <t>View</t>
        </is>
      </c>
      <c r="D52" t="inlineStr">
        <is>
          <t>View</t>
        </is>
      </c>
      <c r="E52" t="inlineStr">
        <is>
          <t>Named</t>
        </is>
      </c>
      <c r="F52" t="inlineStr">
        <is>
          <t>Named Plane</t>
        </is>
      </c>
      <c r="H52" t="inlineStr">
        <is>
          <t>db</t>
        </is>
      </c>
      <c r="I52" t="inlineStr">
        <is>
          <t>npln</t>
        </is>
      </c>
      <c r="K52">
        <f>_xlfn.TEXTAFTER(L51,"/",-1)</f>
        <v/>
      </c>
      <c r="L52" t="inlineStr">
        <is>
          <t>/db/npln</t>
        </is>
      </c>
      <c r="M52" t="inlineStr">
        <is>
          <t>Named Plane</t>
        </is>
      </c>
      <c r="N52" t="inlineStr">
        <is>
          <t>done</t>
        </is>
      </c>
      <c r="O52" t="inlineStr">
        <is>
          <t>done</t>
        </is>
      </c>
      <c r="P52" t="inlineStr">
        <is>
          <t>done</t>
        </is>
      </c>
      <c r="Q52" t="inlineStr">
        <is>
          <t>done</t>
        </is>
      </c>
      <c r="R52" t="inlineStr">
        <is>
          <t>done</t>
        </is>
      </c>
      <c r="S52" t="inlineStr">
        <is>
          <t>done</t>
        </is>
      </c>
      <c r="T52" t="inlineStr">
        <is>
          <t>Done</t>
        </is>
      </c>
      <c r="Z52">
        <f>IF(OR(K51="",K51="TABLE"),"",
_xlfn.TEXTJOIN(", ",TRUE,
IF(E51&lt;&gt;"",E51&amp;K51,""),
IF(F51&lt;&gt;"",F51&amp;K51,""),
IF(G51&lt;&gt;"",G51&amp;K51,"")
))</f>
        <v/>
      </c>
      <c r="AA52">
        <f>IF(K51="","",IF(K51="TABLE","",K51))</f>
        <v/>
      </c>
      <c r="AB52">
        <f>IF(ISNUMBER(SEARCH("기존변경필요",SUBSTITUTE(TRIM(V51),CHAR(10)," "))),"",
IFERROR(
  _xlfn.XLOOKUP(AA51,'기존 end point'!B:B,'기존 end point'!B:B,,0),
""))</f>
        <v/>
      </c>
    </row>
    <row r="53">
      <c r="A53" t="n">
        <v>50</v>
      </c>
      <c r="B53" t="inlineStr">
        <is>
          <t>civil-nx/gen-nx</t>
        </is>
      </c>
      <c r="C53" t="inlineStr">
        <is>
          <t>View</t>
        </is>
      </c>
      <c r="D53" t="inlineStr">
        <is>
          <t>View</t>
        </is>
      </c>
      <c r="E53" t="inlineStr">
        <is>
          <t>Capture</t>
        </is>
      </c>
      <c r="F53" t="inlineStr">
        <is>
          <t>Capture</t>
        </is>
      </c>
      <c r="H53" t="inlineStr">
        <is>
          <t>view</t>
        </is>
      </c>
      <c r="I53" t="inlineStr">
        <is>
          <t>capture</t>
        </is>
      </c>
      <c r="K53">
        <f>_xlfn.TEXTAFTER(L52,"/",-1)</f>
        <v/>
      </c>
      <c r="L53" t="inlineStr">
        <is>
          <t>/view/capture</t>
        </is>
      </c>
      <c r="M53" t="inlineStr">
        <is>
          <t>Capture</t>
        </is>
      </c>
      <c r="N53" t="inlineStr">
        <is>
          <t>done</t>
        </is>
      </c>
      <c r="O53" t="inlineStr">
        <is>
          <t>done</t>
        </is>
      </c>
      <c r="P53" t="inlineStr">
        <is>
          <t>done</t>
        </is>
      </c>
      <c r="Q53" t="inlineStr">
        <is>
          <t>done</t>
        </is>
      </c>
      <c r="R53" t="inlineStr">
        <is>
          <t>done</t>
        </is>
      </c>
      <c r="S53" t="inlineStr">
        <is>
          <t>done</t>
        </is>
      </c>
      <c r="T53" t="inlineStr">
        <is>
          <t>Done</t>
        </is>
      </c>
      <c r="Z53">
        <f>IF(OR(K52="",K52="TABLE"),"",
_xlfn.TEXTJOIN(", ",TRUE,
IF(E52&lt;&gt;"",E52&amp;K52,""),
IF(F52&lt;&gt;"",F52&amp;K52,""),
IF(G52&lt;&gt;"",G52&amp;K52,"")
))</f>
        <v/>
      </c>
      <c r="AA53">
        <f>IF(K52="","",IF(K52="TABLE","",K52))</f>
        <v/>
      </c>
      <c r="AB53">
        <f>IF(ISNUMBER(SEARCH("기존변경필요",SUBSTITUTE(TRIM(V52),CHAR(10)," "))),"",
IFERROR(
  _xlfn.XLOOKUP(AA52,'기존 end point'!B:B,'기존 end point'!B:B,,0),
""))</f>
        <v/>
      </c>
    </row>
    <row r="54">
      <c r="A54" s="26" t="n"/>
      <c r="B54" s="26" t="n"/>
      <c r="C54" s="26" t="inlineStr">
        <is>
          <t>VIEW</t>
        </is>
      </c>
      <c r="D54" s="26" t="inlineStr">
        <is>
          <t>VIEW</t>
        </is>
      </c>
      <c r="E54" s="26" t="inlineStr">
        <is>
          <t>Dialog Capture</t>
        </is>
      </c>
      <c r="F54" s="26" t="n"/>
      <c r="G54" s="26" t="n"/>
      <c r="H54" s="26" t="inlineStr">
        <is>
          <t>VIEW</t>
        </is>
      </c>
      <c r="I54" s="26" t="inlineStr">
        <is>
          <t>PRECAPTURE</t>
        </is>
      </c>
      <c r="J54" s="26" t="n"/>
      <c r="K54" s="26" t="n"/>
      <c r="L54" s="26" t="inlineStr">
        <is>
          <t>/VIEW/PRECAPTURE</t>
        </is>
      </c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inlineStr">
        <is>
          <t>POST</t>
        </is>
      </c>
      <c r="W54" s="26" t="n"/>
      <c r="X54" s="26" t="n"/>
    </row>
    <row r="55">
      <c r="A55" t="n">
        <v>51</v>
      </c>
      <c r="B55" t="inlineStr">
        <is>
          <t>civil-nx/gen-nx</t>
        </is>
      </c>
      <c r="C55" t="inlineStr">
        <is>
          <t>View</t>
        </is>
      </c>
      <c r="D55" t="inlineStr">
        <is>
          <t>View</t>
        </is>
      </c>
      <c r="E55" t="inlineStr">
        <is>
          <t>Capture</t>
        </is>
      </c>
      <c r="F55" t="inlineStr">
        <is>
          <t>Capture Option</t>
        </is>
      </c>
      <c r="T55" t="inlineStr">
        <is>
          <t>none</t>
        </is>
      </c>
      <c r="Z55">
        <f>IF(OR(K53="",K53="TABLE"),"",
_xlfn.TEXTJOIN(", ",TRUE,
IF(E53&lt;&gt;"",E53&amp;K53,""),
IF(F53&lt;&gt;"",F53&amp;K53,""),
IF(G53&lt;&gt;"",G53&amp;K53,"")
))</f>
        <v/>
      </c>
      <c r="AA55">
        <f>IF(K53="","",IF(K53="TABLE","",K53))</f>
        <v/>
      </c>
      <c r="AB55">
        <f>IF(ISNUMBER(SEARCH("기존변경필요",SUBSTITUTE(TRIM(V53),CHAR(10)," "))),"",
IFERROR(
  _xlfn.XLOOKUP(AA53,'기존 end point'!B:B,'기존 end point'!B:B,,0),
""))</f>
        <v/>
      </c>
    </row>
    <row r="56">
      <c r="A56" t="n">
        <v>52</v>
      </c>
      <c r="B56" t="inlineStr">
        <is>
          <t>civil-nx/gen-nx</t>
        </is>
      </c>
      <c r="C56" t="inlineStr">
        <is>
          <t>View</t>
        </is>
      </c>
      <c r="D56" t="inlineStr">
        <is>
          <t>View</t>
        </is>
      </c>
      <c r="E56" t="inlineStr">
        <is>
          <t>View Options for C.S.</t>
        </is>
      </c>
      <c r="T56" t="inlineStr">
        <is>
          <t>none</t>
        </is>
      </c>
      <c r="Z56">
        <f>IF(OR(K54="",K54="TABLE"),"",
_xlfn.TEXTJOIN(", ",TRUE,
IF(E54&lt;&gt;"",E54&amp;K54,""),
IF(F54&lt;&gt;"",F54&amp;K54,""),
IF(G54&lt;&gt;"",G54&amp;K54,"")
))</f>
        <v/>
      </c>
      <c r="AA56">
        <f>IF(K54="","",IF(K54="TABLE","",K54))</f>
        <v/>
      </c>
      <c r="AB56">
        <f>IF(ISNUMBER(SEARCH("기존변경필요",SUBSTITUTE(TRIM(V54),CHAR(10)," "))),"",
IFERROR(
  _xlfn.XLOOKUP(AA54,'기존 end point'!B:B,'기존 end point'!B:B,,0),
""))</f>
        <v/>
      </c>
    </row>
    <row r="57">
      <c r="A57" t="n">
        <v>53</v>
      </c>
      <c r="B57" t="inlineStr">
        <is>
          <t>civil-nx/gen-nx</t>
        </is>
      </c>
      <c r="C57" t="inlineStr">
        <is>
          <t>View</t>
        </is>
      </c>
      <c r="D57" t="inlineStr">
        <is>
          <t>View</t>
        </is>
      </c>
      <c r="E57" t="inlineStr">
        <is>
          <t>Display</t>
        </is>
      </c>
      <c r="F57" t="inlineStr">
        <is>
          <t>Display</t>
        </is>
      </c>
      <c r="H57" t="inlineStr">
        <is>
          <t>view</t>
        </is>
      </c>
      <c r="I57" t="inlineStr">
        <is>
          <t>display</t>
        </is>
      </c>
      <c r="K57">
        <f>_xlfn.TEXTAFTER(L55,"/",-1)</f>
        <v/>
      </c>
      <c r="L57" t="inlineStr">
        <is>
          <t>/view/display</t>
        </is>
      </c>
      <c r="M57" t="inlineStr">
        <is>
          <t>Display</t>
        </is>
      </c>
      <c r="N57" t="inlineStr">
        <is>
          <t>done</t>
        </is>
      </c>
      <c r="O57" t="inlineStr">
        <is>
          <t>done</t>
        </is>
      </c>
      <c r="P57" t="inlineStr">
        <is>
          <t>done</t>
        </is>
      </c>
      <c r="Q57" t="inlineStr">
        <is>
          <t>done</t>
        </is>
      </c>
      <c r="R57" t="inlineStr">
        <is>
          <t>done</t>
        </is>
      </c>
      <c r="S57" t="inlineStr">
        <is>
          <t>done</t>
        </is>
      </c>
      <c r="T57" t="inlineStr">
        <is>
          <t>Done</t>
        </is>
      </c>
      <c r="Z57">
        <f>IF(OR(K55="",K55="TABLE"),"",
_xlfn.TEXTJOIN(", ",TRUE,
IF(E55&lt;&gt;"",E55&amp;K55,""),
IF(F55&lt;&gt;"",F55&amp;K55,""),
IF(G55&lt;&gt;"",G55&amp;K55,"")
))</f>
        <v/>
      </c>
      <c r="AA57">
        <f>IF(K55="","",IF(K55="TABLE","",K55))</f>
        <v/>
      </c>
      <c r="AB57">
        <f>IF(ISNUMBER(SEARCH("기존변경필요",SUBSTITUTE(TRIM(V55),CHAR(10)," "))),"",
IFERROR(
  _xlfn.XLOOKUP(AA55,'기존 end point'!B:B,'기존 end point'!B:B,,0),
""))</f>
        <v/>
      </c>
    </row>
    <row r="58">
      <c r="A58" s="26" t="n"/>
      <c r="B58" s="26" t="n"/>
      <c r="C58" s="26" t="inlineStr">
        <is>
          <t>VIEW</t>
        </is>
      </c>
      <c r="D58" s="26" t="inlineStr">
        <is>
          <t>VIEW</t>
        </is>
      </c>
      <c r="E58" s="26" t="inlineStr">
        <is>
          <t>Crack Ratio - Heat of Hydration Display</t>
        </is>
      </c>
      <c r="F58" s="26" t="n"/>
      <c r="G58" s="26" t="n"/>
      <c r="H58" s="26" t="inlineStr">
        <is>
          <t>VIEW</t>
        </is>
      </c>
      <c r="I58" s="26" t="inlineStr">
        <is>
          <t>RESULTGRAPHIC</t>
        </is>
      </c>
      <c r="J58" s="26" t="n"/>
      <c r="K58" s="26" t="n"/>
      <c r="L58" s="26" t="inlineStr">
        <is>
          <t>/VIEW/RESULTGRAPHIC</t>
        </is>
      </c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inlineStr">
        <is>
          <t>POST</t>
        </is>
      </c>
      <c r="W58" s="26" t="n"/>
      <c r="X58" s="26" t="n"/>
    </row>
    <row r="59">
      <c r="A59" s="26" t="n"/>
      <c r="B59" s="26" t="n"/>
      <c r="C59" s="26" t="inlineStr">
        <is>
          <t>POST</t>
        </is>
      </c>
      <c r="D59" s="26" t="inlineStr">
        <is>
          <t>POST</t>
        </is>
      </c>
      <c r="E59" s="26" t="n"/>
      <c r="F59" s="26" t="n"/>
      <c r="G59" s="26" t="n"/>
      <c r="H59" s="26" t="inlineStr">
        <is>
          <t>POST</t>
        </is>
      </c>
      <c r="I59" s="26" t="inlineStr">
        <is>
          <t>ANL</t>
        </is>
      </c>
      <c r="J59" s="26" t="n"/>
      <c r="K59" s="26" t="n"/>
      <c r="L59" s="26" t="inlineStr">
        <is>
          <t>/POST/ANL</t>
        </is>
      </c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inlineStr">
        <is>
          <t>POST</t>
        </is>
      </c>
      <c r="W59" s="26" t="n"/>
      <c r="X59" s="26" t="n"/>
    </row>
    <row r="60">
      <c r="A60" s="26" t="n"/>
      <c r="B60" s="26" t="n"/>
      <c r="C60" s="26" t="inlineStr">
        <is>
          <t>POST</t>
        </is>
      </c>
      <c r="D60" s="26" t="inlineStr">
        <is>
          <t>POST</t>
        </is>
      </c>
      <c r="E60" s="26" t="inlineStr">
        <is>
          <t>P-M Interaction Diagram</t>
        </is>
      </c>
      <c r="F60" s="26" t="n"/>
      <c r="G60" s="26" t="n"/>
      <c r="H60" s="26" t="inlineStr">
        <is>
          <t>POST</t>
        </is>
      </c>
      <c r="I60" s="26" t="inlineStr">
        <is>
          <t>PM</t>
        </is>
      </c>
      <c r="J60" s="26" t="n"/>
      <c r="K60" s="26" t="n"/>
      <c r="L60" s="26" t="inlineStr">
        <is>
          <t>/POST/PM</t>
        </is>
      </c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inlineStr">
        <is>
          <t>POST</t>
        </is>
      </c>
      <c r="W60" s="26" t="n"/>
      <c r="X60" s="26" t="n"/>
    </row>
    <row r="61">
      <c r="A61" s="26" t="n"/>
      <c r="B61" s="26" t="n"/>
      <c r="C61" s="26" t="inlineStr">
        <is>
          <t>POST</t>
        </is>
      </c>
      <c r="D61" s="26" t="inlineStr">
        <is>
          <t>POST</t>
        </is>
      </c>
      <c r="E61" s="26" t="inlineStr">
        <is>
          <t>Steel Code Check</t>
        </is>
      </c>
      <c r="F61" s="26" t="n"/>
      <c r="G61" s="26" t="n"/>
      <c r="H61" s="26" t="inlineStr">
        <is>
          <t>POST</t>
        </is>
      </c>
      <c r="I61" s="26" t="inlineStr">
        <is>
          <t>STEELCODECHECK</t>
        </is>
      </c>
      <c r="J61" s="26" t="n"/>
      <c r="K61" s="26" t="n"/>
      <c r="L61" s="26" t="inlineStr">
        <is>
          <t>/POST/STEELCODECHECK</t>
        </is>
      </c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inlineStr">
        <is>
          <t>POST</t>
        </is>
      </c>
      <c r="W61" s="26" t="n"/>
      <c r="X61" s="26" t="n"/>
    </row>
    <row r="62">
      <c r="A62" s="26" t="n"/>
      <c r="B62" s="26" t="n"/>
      <c r="C62" s="26" t="inlineStr">
        <is>
          <t>POST</t>
        </is>
      </c>
      <c r="D62" s="26" t="inlineStr">
        <is>
          <t>POST</t>
        </is>
      </c>
      <c r="E62" s="26" t="n"/>
      <c r="F62" s="26" t="n"/>
      <c r="G62" s="26" t="n"/>
      <c r="H62" s="26" t="inlineStr">
        <is>
          <t>POST</t>
        </is>
      </c>
      <c r="I62" s="26" t="inlineStr">
        <is>
          <t>CHART</t>
        </is>
      </c>
      <c r="J62" s="26" t="n"/>
      <c r="K62" s="26" t="n"/>
      <c r="L62" s="26" t="inlineStr">
        <is>
          <t>/POST/CHART</t>
        </is>
      </c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inlineStr">
        <is>
          <t>POST</t>
        </is>
      </c>
      <c r="W62" s="26" t="n"/>
      <c r="X62" s="26" t="n"/>
    </row>
    <row r="63">
      <c r="A63" s="26" t="n"/>
      <c r="B63" s="26" t="n"/>
      <c r="C63" s="26" t="inlineStr">
        <is>
          <t>POST</t>
        </is>
      </c>
      <c r="D63" s="26" t="inlineStr">
        <is>
          <t>POST</t>
        </is>
      </c>
      <c r="E63" s="26" t="n"/>
      <c r="F63" s="26" t="n"/>
      <c r="G63" s="26" t="n"/>
      <c r="H63" s="26" t="inlineStr">
        <is>
          <t>POST</t>
        </is>
      </c>
      <c r="I63" s="26" t="inlineStr">
        <is>
          <t>RCBEAMCHKRATIO</t>
        </is>
      </c>
      <c r="J63" s="26" t="n"/>
      <c r="K63" s="26" t="n"/>
      <c r="L63" s="26" t="inlineStr">
        <is>
          <t>/POST/RCBEAMCHKRATIO</t>
        </is>
      </c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inlineStr">
        <is>
          <t>POST</t>
        </is>
      </c>
      <c r="W63" s="26" t="n"/>
      <c r="X63" s="26" t="n"/>
    </row>
    <row r="64">
      <c r="A64" s="26" t="n"/>
      <c r="B64" s="26" t="n"/>
      <c r="C64" s="26" t="inlineStr">
        <is>
          <t>POST</t>
        </is>
      </c>
      <c r="D64" s="26" t="inlineStr">
        <is>
          <t>POST</t>
        </is>
      </c>
      <c r="E64" s="26" t="n"/>
      <c r="F64" s="26" t="n"/>
      <c r="G64" s="26" t="n"/>
      <c r="H64" s="26" t="inlineStr">
        <is>
          <t>POST</t>
        </is>
      </c>
      <c r="I64" s="26" t="inlineStr">
        <is>
          <t>RCWALLDGNRATIO</t>
        </is>
      </c>
      <c r="J64" s="26" t="n"/>
      <c r="K64" s="26" t="n"/>
      <c r="L64" s="26" t="inlineStr">
        <is>
          <t>/POST/RCWALLDGNRATIO</t>
        </is>
      </c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inlineStr">
        <is>
          <t>POST</t>
        </is>
      </c>
      <c r="W64" s="26" t="n"/>
      <c r="X64" s="26" t="n"/>
    </row>
    <row r="65">
      <c r="A65" s="26" t="n"/>
      <c r="B65" s="26" t="n"/>
      <c r="C65" s="26" t="inlineStr">
        <is>
          <t>POST</t>
        </is>
      </c>
      <c r="D65" s="26" t="inlineStr">
        <is>
          <t>POST</t>
        </is>
      </c>
      <c r="E65" s="26" t="inlineStr">
        <is>
          <t>Designing with Intent: The Vision Behind POST/TABLE</t>
        </is>
      </c>
      <c r="F65" s="26" t="n"/>
      <c r="G65" s="26" t="n"/>
      <c r="H65" s="26" t="inlineStr">
        <is>
          <t>POST</t>
        </is>
      </c>
      <c r="I65" s="26" t="inlineStr">
        <is>
          <t>TABLE</t>
        </is>
      </c>
      <c r="J65" s="26" t="n"/>
      <c r="K65" s="26" t="n"/>
      <c r="L65" s="26" t="inlineStr">
        <is>
          <t>/POST/TABLE</t>
        </is>
      </c>
      <c r="M65" s="26" t="inlineStr">
        <is>
          <t>ELEMENTWEIGHT</t>
        </is>
      </c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inlineStr">
        <is>
          <t>POST</t>
        </is>
      </c>
      <c r="W65" s="26" t="n"/>
      <c r="X65" s="26" t="n"/>
    </row>
    <row r="66">
      <c r="A66" s="26" t="n"/>
      <c r="B66" s="26" t="n"/>
      <c r="C66" s="26" t="inlineStr">
        <is>
          <t>POST</t>
        </is>
      </c>
      <c r="D66" s="26" t="inlineStr">
        <is>
          <t>POST</t>
        </is>
      </c>
      <c r="E66" s="26" t="inlineStr">
        <is>
          <t>Element Weight Table</t>
        </is>
      </c>
      <c r="F66" s="26" t="n"/>
      <c r="G66" s="26" t="n"/>
      <c r="H66" s="26" t="inlineStr">
        <is>
          <t>POST</t>
        </is>
      </c>
      <c r="I66" s="26" t="inlineStr">
        <is>
          <t>TABLE</t>
        </is>
      </c>
      <c r="J66" s="26" t="n"/>
      <c r="K66" s="26" t="n"/>
      <c r="L66" s="26" t="inlineStr">
        <is>
          <t>/POST/TABLE</t>
        </is>
      </c>
      <c r="M66" s="26" t="inlineStr">
        <is>
          <t>ELEMENTWEIGHT</t>
        </is>
      </c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inlineStr">
        <is>
          <t>POST</t>
        </is>
      </c>
      <c r="W66" s="26" t="n"/>
      <c r="X66" s="26" t="n"/>
    </row>
    <row r="67">
      <c r="A67" s="26" t="n"/>
      <c r="B67" s="26" t="n"/>
      <c r="C67" s="26" t="inlineStr">
        <is>
          <t>POST</t>
        </is>
      </c>
      <c r="D67" s="26" t="inlineStr">
        <is>
          <t>POST</t>
        </is>
      </c>
      <c r="E67" s="26" t="inlineStr">
        <is>
          <t>Nodal Body Force Table</t>
        </is>
      </c>
      <c r="F67" s="26" t="n"/>
      <c r="G67" s="26" t="n"/>
      <c r="H67" s="26" t="inlineStr">
        <is>
          <t>POST</t>
        </is>
      </c>
      <c r="I67" s="26" t="inlineStr">
        <is>
          <t>TABLE</t>
        </is>
      </c>
      <c r="J67" s="26" t="n"/>
      <c r="K67" s="26" t="n"/>
      <c r="L67" s="26" t="inlineStr">
        <is>
          <t>/POST/TABLE</t>
        </is>
      </c>
      <c r="M67" s="26" t="inlineStr">
        <is>
          <t>NODALBODYFORCE</t>
        </is>
      </c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inlineStr">
        <is>
          <t>POST</t>
        </is>
      </c>
      <c r="W67" s="26" t="n"/>
      <c r="X67" s="26" t="n"/>
    </row>
    <row r="68">
      <c r="A68" s="26" t="n"/>
      <c r="B68" s="26" t="n"/>
      <c r="C68" s="26" t="inlineStr">
        <is>
          <t>POST</t>
        </is>
      </c>
      <c r="D68" s="26" t="inlineStr">
        <is>
          <t>POST</t>
        </is>
      </c>
      <c r="E68" s="26" t="inlineStr">
        <is>
          <t>Mass Summary Table</t>
        </is>
      </c>
      <c r="F68" s="26" t="n"/>
      <c r="G68" s="26" t="n"/>
      <c r="H68" s="26" t="inlineStr">
        <is>
          <t>POST</t>
        </is>
      </c>
      <c r="I68" s="26" t="inlineStr">
        <is>
          <t>TABLE</t>
        </is>
      </c>
      <c r="J68" s="26" t="n"/>
      <c r="K68" s="26" t="n"/>
      <c r="L68" s="26" t="inlineStr">
        <is>
          <t>/POST/TABLE</t>
        </is>
      </c>
      <c r="M68" s="26" t="inlineStr">
        <is>
          <t>MASS_SUMMARY_X</t>
        </is>
      </c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inlineStr">
        <is>
          <t>POST</t>
        </is>
      </c>
      <c r="W68" s="26" t="n"/>
      <c r="X68" s="26" t="n"/>
    </row>
    <row r="69">
      <c r="A69" s="26" t="n"/>
      <c r="B69" s="26" t="n"/>
      <c r="C69" s="26" t="inlineStr">
        <is>
          <t>POST</t>
        </is>
      </c>
      <c r="D69" s="26" t="inlineStr">
        <is>
          <t>POST</t>
        </is>
      </c>
      <c r="E69" s="26" t="inlineStr">
        <is>
          <t>Load Summary Table</t>
        </is>
      </c>
      <c r="F69" s="26" t="n"/>
      <c r="G69" s="26" t="n"/>
      <c r="H69" s="26" t="inlineStr">
        <is>
          <t>POST</t>
        </is>
      </c>
      <c r="I69" s="26" t="inlineStr">
        <is>
          <t>TABLE</t>
        </is>
      </c>
      <c r="J69" s="26" t="n"/>
      <c r="K69" s="26" t="n"/>
      <c r="L69" s="26" t="inlineStr">
        <is>
          <t>/POST/TABLE</t>
        </is>
      </c>
      <c r="M69" s="26" t="inlineStr">
        <is>
          <t>LOAD_SUMMARY_X</t>
        </is>
      </c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inlineStr">
        <is>
          <t>POST</t>
        </is>
      </c>
      <c r="W69" s="26" t="n"/>
      <c r="X69" s="26" t="n"/>
    </row>
    <row r="70">
      <c r="A70" s="26" t="n"/>
      <c r="B70" s="26" t="n"/>
      <c r="C70" s="26" t="inlineStr">
        <is>
          <t>POST</t>
        </is>
      </c>
      <c r="D70" s="26" t="inlineStr">
        <is>
          <t>POST</t>
        </is>
      </c>
      <c r="E70" s="26" t="inlineStr">
        <is>
          <t>Material Table</t>
        </is>
      </c>
      <c r="F70" s="26" t="n"/>
      <c r="G70" s="26" t="n"/>
      <c r="H70" s="26" t="inlineStr">
        <is>
          <t>POST</t>
        </is>
      </c>
      <c r="I70" s="26" t="inlineStr">
        <is>
          <t>TABLE</t>
        </is>
      </c>
      <c r="J70" s="26" t="n"/>
      <c r="K70" s="26" t="n"/>
      <c r="L70" s="26" t="inlineStr">
        <is>
          <t>/POST/TABLE</t>
        </is>
      </c>
      <c r="M70" s="26" t="inlineStr">
        <is>
          <t>MATERIAL</t>
        </is>
      </c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inlineStr">
        <is>
          <t>POST</t>
        </is>
      </c>
      <c r="W70" s="26" t="n"/>
      <c r="X70" s="26" t="n"/>
    </row>
    <row r="71">
      <c r="A71" s="26" t="n"/>
      <c r="B71" s="26" t="n"/>
      <c r="C71" s="26" t="inlineStr">
        <is>
          <t>POST</t>
        </is>
      </c>
      <c r="D71" s="26" t="inlineStr">
        <is>
          <t>POST</t>
        </is>
      </c>
      <c r="E71" s="26" t="inlineStr">
        <is>
          <t>Section Table</t>
        </is>
      </c>
      <c r="F71" s="26" t="n"/>
      <c r="G71" s="26" t="n"/>
      <c r="H71" s="26" t="inlineStr">
        <is>
          <t>POST</t>
        </is>
      </c>
      <c r="I71" s="26" t="inlineStr">
        <is>
          <t>TABLE</t>
        </is>
      </c>
      <c r="J71" s="26" t="n"/>
      <c r="K71" s="26" t="n"/>
      <c r="L71" s="26" t="inlineStr">
        <is>
          <t>/POST/TABLE</t>
        </is>
      </c>
      <c r="M71" s="26" t="inlineStr">
        <is>
          <t>SECTIONALL</t>
        </is>
      </c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inlineStr">
        <is>
          <t>POST</t>
        </is>
      </c>
      <c r="W71" s="26" t="n"/>
      <c r="X71" s="26" t="n"/>
    </row>
    <row r="72">
      <c r="A72" s="26" t="n"/>
      <c r="B72" s="26" t="n"/>
      <c r="C72" s="26" t="inlineStr">
        <is>
          <t>POST</t>
        </is>
      </c>
      <c r="D72" s="26" t="inlineStr">
        <is>
          <t>POST</t>
        </is>
      </c>
      <c r="E72" s="26" t="inlineStr">
        <is>
          <t>Restraint Supports Table</t>
        </is>
      </c>
      <c r="F72" s="26" t="n"/>
      <c r="G72" s="26" t="n"/>
      <c r="H72" s="26" t="inlineStr">
        <is>
          <t>POST</t>
        </is>
      </c>
      <c r="I72" s="26" t="inlineStr">
        <is>
          <t>TABLE</t>
        </is>
      </c>
      <c r="J72" s="26" t="n"/>
      <c r="K72" s="26" t="n"/>
      <c r="L72" s="26" t="inlineStr">
        <is>
          <t>/POST/TABLE</t>
        </is>
      </c>
      <c r="M72" s="26" t="inlineStr">
        <is>
          <t>SUPPORTS</t>
        </is>
      </c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inlineStr">
        <is>
          <t>POST</t>
        </is>
      </c>
      <c r="W72" s="26" t="n"/>
      <c r="X72" s="26" t="n"/>
    </row>
    <row r="73">
      <c r="A73" s="26" t="n"/>
      <c r="B73" s="26" t="n"/>
      <c r="C73" s="26" t="inlineStr">
        <is>
          <t>POST</t>
        </is>
      </c>
      <c r="D73" s="26" t="inlineStr">
        <is>
          <t>POST</t>
        </is>
      </c>
      <c r="E73" s="26" t="inlineStr">
        <is>
          <t>Story Mass Summary</t>
        </is>
      </c>
      <c r="F73" s="26" t="n"/>
      <c r="G73" s="26" t="n"/>
      <c r="H73" s="26" t="inlineStr">
        <is>
          <t>POST</t>
        </is>
      </c>
      <c r="I73" s="26" t="inlineStr">
        <is>
          <t>TABLE</t>
        </is>
      </c>
      <c r="J73" s="26" t="n"/>
      <c r="K73" s="26" t="n"/>
      <c r="L73" s="26" t="inlineStr">
        <is>
          <t>/POST/TABLE</t>
        </is>
      </c>
      <c r="M73" s="26" t="inlineStr">
        <is>
          <t>STORY_MASS</t>
        </is>
      </c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inlineStr">
        <is>
          <t>POST</t>
        </is>
      </c>
      <c r="W73" s="26" t="n"/>
      <c r="X73" s="26" t="n"/>
    </row>
    <row r="74">
      <c r="A74" s="26" t="n"/>
      <c r="B74" s="26" t="n"/>
      <c r="C74" s="26" t="inlineStr">
        <is>
          <t>POST</t>
        </is>
      </c>
      <c r="D74" s="26" t="inlineStr">
        <is>
          <t>POST</t>
        </is>
      </c>
      <c r="E74" s="26" t="inlineStr">
        <is>
          <t>Reaction - Analysis Result Table</t>
        </is>
      </c>
      <c r="F74" s="26" t="n"/>
      <c r="G74" s="26" t="n"/>
      <c r="H74" s="26" t="inlineStr">
        <is>
          <t>POST</t>
        </is>
      </c>
      <c r="I74" s="26" t="inlineStr">
        <is>
          <t>TABLE</t>
        </is>
      </c>
      <c r="J74" s="26" t="n"/>
      <c r="K74" s="26" t="n"/>
      <c r="L74" s="26" t="inlineStr">
        <is>
          <t>/POST/TABLE</t>
        </is>
      </c>
      <c r="M74" s="26" t="inlineStr">
        <is>
          <t>REACTIONG</t>
        </is>
      </c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inlineStr">
        <is>
          <t>POST</t>
        </is>
      </c>
      <c r="W74" s="26" t="n"/>
      <c r="X74" s="26" t="n"/>
    </row>
    <row r="75">
      <c r="A75" s="26" t="n"/>
      <c r="B75" s="26" t="n"/>
      <c r="C75" s="26" t="inlineStr">
        <is>
          <t>POST</t>
        </is>
      </c>
      <c r="D75" s="26" t="inlineStr">
        <is>
          <t>POST</t>
        </is>
      </c>
      <c r="E75" s="26" t="inlineStr">
        <is>
          <t>Displacements - Analysis Result Table</t>
        </is>
      </c>
      <c r="F75" s="26" t="n"/>
      <c r="G75" s="26" t="n"/>
      <c r="H75" s="26" t="inlineStr">
        <is>
          <t>POST</t>
        </is>
      </c>
      <c r="I75" s="26" t="inlineStr">
        <is>
          <t>TABLE</t>
        </is>
      </c>
      <c r="J75" s="26" t="n"/>
      <c r="K75" s="26" t="n"/>
      <c r="L75" s="26" t="inlineStr">
        <is>
          <t>/POST/TABLE</t>
        </is>
      </c>
      <c r="M75" s="26" t="inlineStr">
        <is>
          <t>DISPLACEMENTG</t>
        </is>
      </c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inlineStr">
        <is>
          <t>POST</t>
        </is>
      </c>
      <c r="W75" s="26" t="n"/>
      <c r="X75" s="26" t="n"/>
    </row>
    <row r="76">
      <c r="A76" s="26" t="n"/>
      <c r="B76" s="26" t="n"/>
      <c r="C76" s="26" t="inlineStr">
        <is>
          <t>POST</t>
        </is>
      </c>
      <c r="D76" s="26" t="inlineStr">
        <is>
          <t>POST</t>
        </is>
      </c>
      <c r="E76" s="26" t="inlineStr">
        <is>
          <t>Truss Force - Analysis Result Table</t>
        </is>
      </c>
      <c r="F76" s="26" t="n"/>
      <c r="G76" s="26" t="n"/>
      <c r="H76" s="26" t="inlineStr">
        <is>
          <t>POST</t>
        </is>
      </c>
      <c r="I76" s="26" t="inlineStr">
        <is>
          <t>TABLE</t>
        </is>
      </c>
      <c r="J76" s="26" t="n"/>
      <c r="K76" s="26" t="n"/>
      <c r="L76" s="26" t="inlineStr">
        <is>
          <t>/POST/TABLE</t>
        </is>
      </c>
      <c r="M76" s="26" t="inlineStr">
        <is>
          <t>TRUSSFORCE</t>
        </is>
      </c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inlineStr">
        <is>
          <t>POST</t>
        </is>
      </c>
      <c r="W76" s="26" t="n"/>
      <c r="X76" s="26" t="n"/>
    </row>
    <row r="77">
      <c r="A77" s="26" t="n"/>
      <c r="B77" s="26" t="n"/>
      <c r="C77" s="26" t="inlineStr">
        <is>
          <t>POST</t>
        </is>
      </c>
      <c r="D77" s="26" t="inlineStr">
        <is>
          <t>POST</t>
        </is>
      </c>
      <c r="E77" s="26" t="inlineStr">
        <is>
          <t>Truss Stress - Analysis Result Table</t>
        </is>
      </c>
      <c r="F77" s="26" t="n"/>
      <c r="G77" s="26" t="n"/>
      <c r="H77" s="26" t="inlineStr">
        <is>
          <t>POST</t>
        </is>
      </c>
      <c r="I77" s="26" t="inlineStr">
        <is>
          <t>TABLE</t>
        </is>
      </c>
      <c r="J77" s="26" t="n"/>
      <c r="K77" s="26" t="n"/>
      <c r="L77" s="26" t="inlineStr">
        <is>
          <t>/POST/TABLE</t>
        </is>
      </c>
      <c r="M77" s="26" t="inlineStr">
        <is>
          <t>TRUSSSTRESS</t>
        </is>
      </c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inlineStr">
        <is>
          <t>POST</t>
        </is>
      </c>
      <c r="W77" s="26" t="n"/>
      <c r="X77" s="26" t="n"/>
    </row>
    <row r="78">
      <c r="A78" s="26" t="n"/>
      <c r="B78" s="26" t="n"/>
      <c r="C78" s="26" t="inlineStr">
        <is>
          <t>POST</t>
        </is>
      </c>
      <c r="D78" s="26" t="inlineStr">
        <is>
          <t>POST</t>
        </is>
      </c>
      <c r="E78" s="26" t="inlineStr">
        <is>
          <t>Cable Force - Analysis Result Table</t>
        </is>
      </c>
      <c r="F78" s="26" t="n"/>
      <c r="G78" s="26" t="n"/>
      <c r="H78" s="26" t="inlineStr">
        <is>
          <t>POST</t>
        </is>
      </c>
      <c r="I78" s="26" t="inlineStr">
        <is>
          <t>TABLE</t>
        </is>
      </c>
      <c r="J78" s="26" t="n"/>
      <c r="K78" s="26" t="n"/>
      <c r="L78" s="26" t="inlineStr">
        <is>
          <t>/POST/TABLE</t>
        </is>
      </c>
      <c r="M78" s="26" t="inlineStr">
        <is>
          <t>CABLEFORCE</t>
        </is>
      </c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inlineStr">
        <is>
          <t>POST</t>
        </is>
      </c>
      <c r="W78" s="26" t="n"/>
      <c r="X78" s="26" t="n"/>
    </row>
    <row r="79">
      <c r="A79" s="26" t="n"/>
      <c r="B79" s="26" t="n"/>
      <c r="C79" s="26" t="inlineStr">
        <is>
          <t>POST</t>
        </is>
      </c>
      <c r="D79" s="26" t="inlineStr">
        <is>
          <t>POST</t>
        </is>
      </c>
      <c r="E79" s="26" t="inlineStr">
        <is>
          <t>Cable Configuration - Analysis Result Table</t>
        </is>
      </c>
      <c r="F79" s="26" t="n"/>
      <c r="G79" s="26" t="n"/>
      <c r="H79" s="26" t="inlineStr">
        <is>
          <t>POST</t>
        </is>
      </c>
      <c r="I79" s="26" t="inlineStr">
        <is>
          <t>TABLE</t>
        </is>
      </c>
      <c r="J79" s="26" t="n"/>
      <c r="K79" s="26" t="n"/>
      <c r="L79" s="26" t="inlineStr">
        <is>
          <t>/POST/TABLE</t>
        </is>
      </c>
      <c r="M79" s="26" t="inlineStr">
        <is>
          <t>CABLECONFIG</t>
        </is>
      </c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inlineStr">
        <is>
          <t>POST</t>
        </is>
      </c>
      <c r="W79" s="26" t="n"/>
      <c r="X79" s="26" t="n"/>
    </row>
    <row r="80">
      <c r="A80" s="26" t="n"/>
      <c r="B80" s="26" t="n"/>
      <c r="C80" s="26" t="inlineStr">
        <is>
          <t>POST</t>
        </is>
      </c>
      <c r="D80" s="26" t="inlineStr">
        <is>
          <t>POST</t>
        </is>
      </c>
      <c r="E80" s="26" t="inlineStr">
        <is>
          <t>Cable Efficiency - Analysis Result Table</t>
        </is>
      </c>
      <c r="F80" s="26" t="n"/>
      <c r="G80" s="26" t="n"/>
      <c r="H80" s="26" t="inlineStr">
        <is>
          <t>POST</t>
        </is>
      </c>
      <c r="I80" s="26" t="inlineStr">
        <is>
          <t>TABLE</t>
        </is>
      </c>
      <c r="J80" s="26" t="n"/>
      <c r="K80" s="26" t="n"/>
      <c r="L80" s="26" t="inlineStr">
        <is>
          <t>/POST/TABLE</t>
        </is>
      </c>
      <c r="M80" s="26" t="inlineStr">
        <is>
          <t>CABLEEFFIENCY</t>
        </is>
      </c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inlineStr">
        <is>
          <t>POST</t>
        </is>
      </c>
      <c r="W80" s="26" t="n"/>
      <c r="X80" s="26" t="n"/>
    </row>
    <row r="81">
      <c r="A81" s="26" t="n"/>
      <c r="B81" s="26" t="n"/>
      <c r="C81" s="26" t="inlineStr">
        <is>
          <t>POST</t>
        </is>
      </c>
      <c r="D81" s="26" t="inlineStr">
        <is>
          <t>POST</t>
        </is>
      </c>
      <c r="E81" s="26" t="inlineStr">
        <is>
          <t>Beam Force - Analysis Result Table</t>
        </is>
      </c>
      <c r="F81" s="26" t="n"/>
      <c r="G81" s="26" t="n"/>
      <c r="H81" s="26" t="inlineStr">
        <is>
          <t>POST</t>
        </is>
      </c>
      <c r="I81" s="26" t="inlineStr">
        <is>
          <t>TABLE</t>
        </is>
      </c>
      <c r="J81" s="26" t="n"/>
      <c r="K81" s="26" t="n"/>
      <c r="L81" s="26" t="inlineStr">
        <is>
          <t>/POST/TABLE</t>
        </is>
      </c>
      <c r="M81" s="26" t="inlineStr">
        <is>
          <t>BEAMFORCE</t>
        </is>
      </c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inlineStr">
        <is>
          <t>POST</t>
        </is>
      </c>
      <c r="W81" s="26" t="n"/>
      <c r="X81" s="26" t="n"/>
    </row>
    <row r="82">
      <c r="A82" s="26" t="n"/>
      <c r="B82" s="26" t="n"/>
      <c r="C82" s="26" t="inlineStr">
        <is>
          <t>POST</t>
        </is>
      </c>
      <c r="D82" s="26" t="inlineStr">
        <is>
          <t>POST</t>
        </is>
      </c>
      <c r="E82" s="26" t="inlineStr">
        <is>
          <t>Beam Force (Static Prestress) - Analysis Result Table</t>
        </is>
      </c>
      <c r="F82" s="26" t="n"/>
      <c r="G82" s="26" t="n"/>
      <c r="H82" s="26" t="inlineStr">
        <is>
          <t>POST</t>
        </is>
      </c>
      <c r="I82" s="26" t="inlineStr">
        <is>
          <t>TABLE</t>
        </is>
      </c>
      <c r="J82" s="26" t="n"/>
      <c r="K82" s="26" t="n"/>
      <c r="L82" s="26" t="inlineStr">
        <is>
          <t>/POST/TABLE</t>
        </is>
      </c>
      <c r="M82" s="26" t="inlineStr">
        <is>
          <t>BEAMFORCESTP</t>
        </is>
      </c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inlineStr">
        <is>
          <t>POST</t>
        </is>
      </c>
      <c r="W82" s="26" t="n"/>
      <c r="X82" s="26" t="n"/>
    </row>
    <row r="83">
      <c r="A83" s="26" t="n"/>
      <c r="B83" s="26" t="n"/>
      <c r="C83" s="26" t="inlineStr">
        <is>
          <t>POST</t>
        </is>
      </c>
      <c r="D83" s="26" t="inlineStr">
        <is>
          <t>POST</t>
        </is>
      </c>
      <c r="E83" s="26" t="inlineStr">
        <is>
          <t>Beam Stress - Analysis Result Table</t>
        </is>
      </c>
      <c r="F83" s="26" t="n"/>
      <c r="G83" s="26" t="n"/>
      <c r="H83" s="26" t="inlineStr">
        <is>
          <t>POST</t>
        </is>
      </c>
      <c r="I83" s="26" t="inlineStr">
        <is>
          <t>TABLE</t>
        </is>
      </c>
      <c r="J83" s="26" t="n"/>
      <c r="K83" s="26" t="n"/>
      <c r="L83" s="26" t="inlineStr">
        <is>
          <t>/POST/TABLE</t>
        </is>
      </c>
      <c r="M83" s="26" t="inlineStr">
        <is>
          <t>BEAMSTRESS</t>
        </is>
      </c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inlineStr">
        <is>
          <t>POST</t>
        </is>
      </c>
      <c r="W83" s="26" t="n"/>
      <c r="X83" s="26" t="n"/>
    </row>
    <row r="84">
      <c r="A84" s="26" t="n"/>
      <c r="B84" s="26" t="n"/>
      <c r="C84" s="26" t="inlineStr">
        <is>
          <t>POST</t>
        </is>
      </c>
      <c r="D84" s="26" t="inlineStr">
        <is>
          <t>POST</t>
        </is>
      </c>
      <c r="E84" s="26" t="inlineStr">
        <is>
          <t>Beam Stress (Equivalent) - Analysis Result Table</t>
        </is>
      </c>
      <c r="F84" s="26" t="n"/>
      <c r="G84" s="26" t="n"/>
      <c r="H84" s="26" t="inlineStr">
        <is>
          <t>POST</t>
        </is>
      </c>
      <c r="I84" s="26" t="inlineStr">
        <is>
          <t>TABLE</t>
        </is>
      </c>
      <c r="J84" s="26" t="n"/>
      <c r="K84" s="26" t="n"/>
      <c r="L84" s="26" t="inlineStr">
        <is>
          <t>/POST/TABLE</t>
        </is>
      </c>
      <c r="M84" s="26" t="inlineStr">
        <is>
          <t>BEAMSTRESSDETAIL</t>
        </is>
      </c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inlineStr">
        <is>
          <t>POST</t>
        </is>
      </c>
      <c r="W84" s="26" t="n"/>
      <c r="X84" s="26" t="n"/>
    </row>
    <row r="85">
      <c r="A85" s="26" t="n"/>
      <c r="B85" s="26" t="n"/>
      <c r="C85" s="26" t="inlineStr">
        <is>
          <t>POST</t>
        </is>
      </c>
      <c r="D85" s="26" t="inlineStr">
        <is>
          <t>POST</t>
        </is>
      </c>
      <c r="E85" s="26" t="inlineStr">
        <is>
          <t>Beam Stress (PSC) - Analysis Result Table</t>
        </is>
      </c>
      <c r="F85" s="26" t="n"/>
      <c r="G85" s="26" t="n"/>
      <c r="H85" s="26" t="inlineStr">
        <is>
          <t>POST</t>
        </is>
      </c>
      <c r="I85" s="26" t="inlineStr">
        <is>
          <t>TABLE</t>
        </is>
      </c>
      <c r="J85" s="26" t="n"/>
      <c r="K85" s="26" t="n"/>
      <c r="L85" s="26" t="inlineStr">
        <is>
          <t>/POST/TABLE</t>
        </is>
      </c>
      <c r="M85" s="26" t="inlineStr">
        <is>
          <t>BEAMSTRESSPSC</t>
        </is>
      </c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inlineStr">
        <is>
          <t>POST</t>
        </is>
      </c>
      <c r="W85" s="26" t="n"/>
      <c r="X85" s="26" t="n"/>
    </row>
    <row r="86">
      <c r="A86" s="26" t="n"/>
      <c r="B86" s="26" t="n"/>
      <c r="C86" s="26" t="inlineStr">
        <is>
          <t>POST</t>
        </is>
      </c>
      <c r="D86" s="26" t="inlineStr">
        <is>
          <t>POST</t>
        </is>
      </c>
      <c r="E86" s="26" t="inlineStr">
        <is>
          <t>Plate Force (Local) - Analysis Result Table</t>
        </is>
      </c>
      <c r="F86" s="26" t="n"/>
      <c r="G86" s="26" t="n"/>
      <c r="H86" s="26" t="inlineStr">
        <is>
          <t>POST</t>
        </is>
      </c>
      <c r="I86" s="26" t="inlineStr">
        <is>
          <t>TABLE</t>
        </is>
      </c>
      <c r="J86" s="26" t="n"/>
      <c r="K86" s="26" t="n"/>
      <c r="L86" s="26" t="inlineStr">
        <is>
          <t>/POST/TABLE</t>
        </is>
      </c>
      <c r="M86" s="26" t="inlineStr">
        <is>
          <t>PLATEFORCEL</t>
        </is>
      </c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inlineStr">
        <is>
          <t>POST</t>
        </is>
      </c>
      <c r="W86" s="26" t="n"/>
      <c r="X86" s="26" t="n"/>
    </row>
    <row r="87">
      <c r="A87" s="26" t="n"/>
      <c r="B87" s="26" t="n"/>
      <c r="C87" s="26" t="inlineStr">
        <is>
          <t>POST</t>
        </is>
      </c>
      <c r="D87" s="26" t="inlineStr">
        <is>
          <t>POST</t>
        </is>
      </c>
      <c r="E87" s="26" t="inlineStr">
        <is>
          <t>Plate Force (Global) - Analysis Result Table</t>
        </is>
      </c>
      <c r="F87" s="26" t="n"/>
      <c r="G87" s="26" t="n"/>
      <c r="H87" s="26" t="inlineStr">
        <is>
          <t>POST</t>
        </is>
      </c>
      <c r="I87" s="26" t="inlineStr">
        <is>
          <t>TABLE</t>
        </is>
      </c>
      <c r="J87" s="26" t="n"/>
      <c r="K87" s="26" t="n"/>
      <c r="L87" s="26" t="inlineStr">
        <is>
          <t>/POST/TABLE</t>
        </is>
      </c>
      <c r="M87" s="26" t="inlineStr">
        <is>
          <t>PLATEFORCEG</t>
        </is>
      </c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inlineStr">
        <is>
          <t>POST</t>
        </is>
      </c>
      <c r="W87" s="26" t="n"/>
      <c r="X87" s="26" t="n"/>
    </row>
    <row r="88">
      <c r="A88" s="26" t="n"/>
      <c r="B88" s="26" t="n"/>
      <c r="C88" s="26" t="inlineStr">
        <is>
          <t>POST</t>
        </is>
      </c>
      <c r="D88" s="26" t="inlineStr">
        <is>
          <t>POST</t>
        </is>
      </c>
      <c r="E88" s="26" t="inlineStr">
        <is>
          <t>Plate Force (Unit Length) - Analysis Result Table</t>
        </is>
      </c>
      <c r="F88" s="26" t="n"/>
      <c r="G88" s="26" t="n"/>
      <c r="H88" s="26" t="inlineStr">
        <is>
          <t>POST</t>
        </is>
      </c>
      <c r="I88" s="26" t="inlineStr">
        <is>
          <t>TABLE</t>
        </is>
      </c>
      <c r="J88" s="26" t="n"/>
      <c r="K88" s="26" t="n"/>
      <c r="L88" s="26" t="inlineStr">
        <is>
          <t>/POST/TABLE</t>
        </is>
      </c>
      <c r="M88" s="26" t="inlineStr">
        <is>
          <t>PLATEFORCEUL</t>
        </is>
      </c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inlineStr">
        <is>
          <t>POST</t>
        </is>
      </c>
      <c r="W88" s="26" t="n"/>
      <c r="X88" s="26" t="n"/>
    </row>
    <row r="89">
      <c r="A89" s="26" t="n"/>
      <c r="B89" s="26" t="n"/>
      <c r="C89" s="26" t="inlineStr">
        <is>
          <t>POST</t>
        </is>
      </c>
      <c r="D89" s="26" t="inlineStr">
        <is>
          <t>POST</t>
        </is>
      </c>
      <c r="E89" s="26" t="inlineStr">
        <is>
          <t>Plate Stress (Local) - Analysis Result Table</t>
        </is>
      </c>
      <c r="F89" s="26" t="n"/>
      <c r="G89" s="26" t="n"/>
      <c r="H89" s="26" t="inlineStr">
        <is>
          <t>POST</t>
        </is>
      </c>
      <c r="I89" s="26" t="inlineStr">
        <is>
          <t>TABLE</t>
        </is>
      </c>
      <c r="J89" s="26" t="n"/>
      <c r="K89" s="26" t="n"/>
      <c r="L89" s="26" t="inlineStr">
        <is>
          <t>/POST/TABLE</t>
        </is>
      </c>
      <c r="M89" s="26" t="inlineStr">
        <is>
          <t>PLATESTRESSL</t>
        </is>
      </c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inlineStr">
        <is>
          <t>POST</t>
        </is>
      </c>
      <c r="W89" s="26" t="n"/>
      <c r="X89" s="26" t="n"/>
    </row>
    <row r="90">
      <c r="A90" s="26" t="n"/>
      <c r="B90" s="26" t="n"/>
      <c r="C90" s="26" t="inlineStr">
        <is>
          <t>POST</t>
        </is>
      </c>
      <c r="D90" s="26" t="inlineStr">
        <is>
          <t>POST</t>
        </is>
      </c>
      <c r="E90" s="26" t="inlineStr">
        <is>
          <t>Plate Stress (Global) - Analysis Result Table</t>
        </is>
      </c>
      <c r="F90" s="26" t="n"/>
      <c r="G90" s="26" t="n"/>
      <c r="H90" s="26" t="inlineStr">
        <is>
          <t>POST</t>
        </is>
      </c>
      <c r="I90" s="26" t="inlineStr">
        <is>
          <t>TABLE</t>
        </is>
      </c>
      <c r="J90" s="26" t="n"/>
      <c r="K90" s="26" t="n"/>
      <c r="L90" s="26" t="inlineStr">
        <is>
          <t>/POST/TABLE</t>
        </is>
      </c>
      <c r="M90" s="26" t="inlineStr">
        <is>
          <t>PLATESTRESSG</t>
        </is>
      </c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inlineStr">
        <is>
          <t>POST</t>
        </is>
      </c>
      <c r="W90" s="26" t="n"/>
      <c r="X90" s="26" t="n"/>
    </row>
    <row r="91">
      <c r="A91" s="26" t="n"/>
      <c r="B91" s="26" t="n"/>
      <c r="C91" s="26" t="inlineStr">
        <is>
          <t>POST</t>
        </is>
      </c>
      <c r="D91" s="26" t="inlineStr">
        <is>
          <t>POST</t>
        </is>
      </c>
      <c r="E91" s="26" t="inlineStr">
        <is>
          <t>Plate Strain (Local) - Analysis Result Table</t>
        </is>
      </c>
      <c r="F91" s="26" t="n"/>
      <c r="G91" s="26" t="n"/>
      <c r="H91" s="26" t="inlineStr">
        <is>
          <t>POST</t>
        </is>
      </c>
      <c r="I91" s="26" t="inlineStr">
        <is>
          <t>TABLE</t>
        </is>
      </c>
      <c r="J91" s="26" t="n"/>
      <c r="K91" s="26" t="n"/>
      <c r="L91" s="26" t="inlineStr">
        <is>
          <t>/POST/TABLE</t>
        </is>
      </c>
      <c r="M91" s="26" t="inlineStr">
        <is>
          <t>PLATESTRAINTL</t>
        </is>
      </c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inlineStr">
        <is>
          <t>POST</t>
        </is>
      </c>
      <c r="W91" s="26" t="n"/>
      <c r="X91" s="26" t="n"/>
    </row>
    <row r="92">
      <c r="A92" s="26" t="n"/>
      <c r="B92" s="26" t="n"/>
      <c r="C92" s="26" t="inlineStr">
        <is>
          <t>POST</t>
        </is>
      </c>
      <c r="D92" s="26" t="inlineStr">
        <is>
          <t>POST</t>
        </is>
      </c>
      <c r="E92" s="26" t="inlineStr">
        <is>
          <t>Plate Strain (Global) - Analysis Result Table</t>
        </is>
      </c>
      <c r="F92" s="26" t="n"/>
      <c r="G92" s="26" t="n"/>
      <c r="H92" s="26" t="inlineStr">
        <is>
          <t>POST</t>
        </is>
      </c>
      <c r="I92" s="26" t="inlineStr">
        <is>
          <t>TABLE</t>
        </is>
      </c>
      <c r="J92" s="26" t="n"/>
      <c r="K92" s="26" t="n"/>
      <c r="L92" s="26" t="inlineStr">
        <is>
          <t>/POST/TABLE</t>
        </is>
      </c>
      <c r="M92" s="26" t="inlineStr">
        <is>
          <t>PLATESTRAINTG</t>
        </is>
      </c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inlineStr">
        <is>
          <t>POST</t>
        </is>
      </c>
      <c r="W92" s="26" t="n"/>
      <c r="X92" s="26" t="n"/>
    </row>
    <row r="93">
      <c r="A93" s="26" t="n"/>
      <c r="B93" s="26" t="n"/>
      <c r="C93" s="26" t="inlineStr">
        <is>
          <t>POST</t>
        </is>
      </c>
      <c r="D93" s="26" t="inlineStr">
        <is>
          <t>POST</t>
        </is>
      </c>
      <c r="E93" s="26" t="inlineStr">
        <is>
          <t>Plane Force (Local) - Analysis Result Table</t>
        </is>
      </c>
      <c r="F93" s="26" t="n"/>
      <c r="G93" s="26" t="n"/>
      <c r="H93" s="26" t="inlineStr">
        <is>
          <t>POST</t>
        </is>
      </c>
      <c r="I93" s="26" t="inlineStr">
        <is>
          <t>TABLE</t>
        </is>
      </c>
      <c r="J93" s="26" t="n"/>
      <c r="K93" s="26" t="n"/>
      <c r="L93" s="26" t="inlineStr">
        <is>
          <t>/POST/TABLE</t>
        </is>
      </c>
      <c r="M93" s="26" t="inlineStr">
        <is>
          <t>PLANESTRESSFL</t>
        </is>
      </c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inlineStr">
        <is>
          <t>POST</t>
        </is>
      </c>
      <c r="W93" s="26" t="n"/>
      <c r="X93" s="26" t="n"/>
    </row>
    <row r="94">
      <c r="A94" s="26" t="n"/>
      <c r="B94" s="26" t="n"/>
      <c r="C94" s="26" t="inlineStr">
        <is>
          <t>POST</t>
        </is>
      </c>
      <c r="D94" s="26" t="inlineStr">
        <is>
          <t>POST</t>
        </is>
      </c>
      <c r="E94" s="26" t="inlineStr">
        <is>
          <t>Plane Force (Global) - Analysis Result Table</t>
        </is>
      </c>
      <c r="F94" s="26" t="n"/>
      <c r="G94" s="26" t="n"/>
      <c r="H94" s="26" t="inlineStr">
        <is>
          <t>POST</t>
        </is>
      </c>
      <c r="I94" s="26" t="inlineStr">
        <is>
          <t>TABLE</t>
        </is>
      </c>
      <c r="J94" s="26" t="n"/>
      <c r="K94" s="26" t="n"/>
      <c r="L94" s="26" t="inlineStr">
        <is>
          <t>/POST/TABLE</t>
        </is>
      </c>
      <c r="M94" s="26" t="inlineStr">
        <is>
          <t>PLANESTRESSFG</t>
        </is>
      </c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inlineStr">
        <is>
          <t>POST</t>
        </is>
      </c>
      <c r="W94" s="26" t="n"/>
      <c r="X94" s="26" t="n"/>
    </row>
    <row r="95">
      <c r="A95" s="26" t="n"/>
      <c r="B95" s="26" t="n"/>
      <c r="C95" s="26" t="inlineStr">
        <is>
          <t>POST</t>
        </is>
      </c>
      <c r="D95" s="26" t="inlineStr">
        <is>
          <t>POST</t>
        </is>
      </c>
      <c r="E95" s="26" t="inlineStr">
        <is>
          <t>Plane Stress (Local) - Analysis Result Table</t>
        </is>
      </c>
      <c r="F95" s="26" t="n"/>
      <c r="G95" s="26" t="n"/>
      <c r="H95" s="26" t="inlineStr">
        <is>
          <t>POST</t>
        </is>
      </c>
      <c r="I95" s="26" t="inlineStr">
        <is>
          <t>TABLE</t>
        </is>
      </c>
      <c r="J95" s="26" t="n"/>
      <c r="K95" s="26" t="n"/>
      <c r="L95" s="26" t="inlineStr">
        <is>
          <t>/POST/TABLE</t>
        </is>
      </c>
      <c r="M95" s="26" t="inlineStr">
        <is>
          <t>PLANESTRESSSL</t>
        </is>
      </c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inlineStr">
        <is>
          <t>POST</t>
        </is>
      </c>
      <c r="W95" s="26" t="n"/>
      <c r="X95" s="26" t="n"/>
    </row>
    <row r="96">
      <c r="A96" s="26" t="n"/>
      <c r="B96" s="26" t="n"/>
      <c r="C96" s="26" t="inlineStr">
        <is>
          <t>POST</t>
        </is>
      </c>
      <c r="D96" s="26" t="inlineStr">
        <is>
          <t>POST</t>
        </is>
      </c>
      <c r="E96" s="26" t="inlineStr">
        <is>
          <t>Plane Stress (Global) - Analysis Result Table</t>
        </is>
      </c>
      <c r="F96" s="26" t="n"/>
      <c r="G96" s="26" t="n"/>
      <c r="H96" s="26" t="inlineStr">
        <is>
          <t>POST</t>
        </is>
      </c>
      <c r="I96" s="26" t="inlineStr">
        <is>
          <t>TABLE</t>
        </is>
      </c>
      <c r="J96" s="26" t="n"/>
      <c r="K96" s="26" t="n"/>
      <c r="L96" s="26" t="inlineStr">
        <is>
          <t>/POST/TABLE</t>
        </is>
      </c>
      <c r="M96" s="26" t="inlineStr">
        <is>
          <t>PLANESTRESSSG</t>
        </is>
      </c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inlineStr">
        <is>
          <t>POST</t>
        </is>
      </c>
      <c r="W96" s="26" t="n"/>
      <c r="X96" s="26" t="n"/>
    </row>
    <row r="97">
      <c r="A97" s="26" t="n"/>
      <c r="B97" s="26" t="n"/>
      <c r="C97" s="26" t="inlineStr">
        <is>
          <t>POST</t>
        </is>
      </c>
      <c r="D97" s="26" t="inlineStr">
        <is>
          <t>POST</t>
        </is>
      </c>
      <c r="E97" s="26" t="inlineStr">
        <is>
          <t>Plane Strain Force (Local) - Analysis Result Table</t>
        </is>
      </c>
      <c r="F97" s="26" t="n"/>
      <c r="G97" s="26" t="n"/>
      <c r="H97" s="26" t="inlineStr">
        <is>
          <t>POST</t>
        </is>
      </c>
      <c r="I97" s="26" t="inlineStr">
        <is>
          <t>TABLE</t>
        </is>
      </c>
      <c r="J97" s="26" t="n"/>
      <c r="K97" s="26" t="n"/>
      <c r="L97" s="26" t="inlineStr">
        <is>
          <t>/POST/TABLE</t>
        </is>
      </c>
      <c r="M97" s="26" t="inlineStr">
        <is>
          <t>PLANESTRAINFL</t>
        </is>
      </c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inlineStr">
        <is>
          <t>POST</t>
        </is>
      </c>
      <c r="W97" s="26" t="n"/>
      <c r="X97" s="26" t="n"/>
    </row>
    <row r="98">
      <c r="A98" s="26" t="n"/>
      <c r="B98" s="26" t="n"/>
      <c r="C98" s="26" t="inlineStr">
        <is>
          <t>POST</t>
        </is>
      </c>
      <c r="D98" s="26" t="inlineStr">
        <is>
          <t>POST</t>
        </is>
      </c>
      <c r="E98" s="26" t="inlineStr">
        <is>
          <t>Plane Strain Force (Global) - Analysis Result Table</t>
        </is>
      </c>
      <c r="F98" s="26" t="n"/>
      <c r="G98" s="26" t="n"/>
      <c r="H98" s="26" t="inlineStr">
        <is>
          <t>POST</t>
        </is>
      </c>
      <c r="I98" s="26" t="inlineStr">
        <is>
          <t>TABLE</t>
        </is>
      </c>
      <c r="J98" s="26" t="n"/>
      <c r="K98" s="26" t="n"/>
      <c r="L98" s="26" t="inlineStr">
        <is>
          <t>/POST/TABLE</t>
        </is>
      </c>
      <c r="M98" s="26" t="inlineStr">
        <is>
          <t>PLANESTRAINFG</t>
        </is>
      </c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inlineStr">
        <is>
          <t>POST</t>
        </is>
      </c>
      <c r="W98" s="26" t="n"/>
      <c r="X98" s="26" t="n"/>
    </row>
    <row r="99">
      <c r="A99" s="26" t="n"/>
      <c r="B99" s="26" t="n"/>
      <c r="C99" s="26" t="inlineStr">
        <is>
          <t>POST</t>
        </is>
      </c>
      <c r="D99" s="26" t="inlineStr">
        <is>
          <t>POST</t>
        </is>
      </c>
      <c r="E99" s="26" t="inlineStr">
        <is>
          <t>Plane Strain Stress (Local) - Analysis Result Table</t>
        </is>
      </c>
      <c r="F99" s="26" t="n"/>
      <c r="G99" s="26" t="n"/>
      <c r="H99" s="26" t="inlineStr">
        <is>
          <t>POST</t>
        </is>
      </c>
      <c r="I99" s="26" t="inlineStr">
        <is>
          <t>TABLE</t>
        </is>
      </c>
      <c r="J99" s="26" t="n"/>
      <c r="K99" s="26" t="n"/>
      <c r="L99" s="26" t="inlineStr">
        <is>
          <t>/POST/TABLE</t>
        </is>
      </c>
      <c r="M99" s="26" t="inlineStr">
        <is>
          <t>PLANESTRAINSL</t>
        </is>
      </c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inlineStr">
        <is>
          <t>POST</t>
        </is>
      </c>
      <c r="W99" s="26" t="n"/>
      <c r="X99" s="26" t="n"/>
    </row>
    <row r="100">
      <c r="A100" s="26" t="n"/>
      <c r="B100" s="26" t="n"/>
      <c r="C100" s="26" t="inlineStr">
        <is>
          <t>POST</t>
        </is>
      </c>
      <c r="D100" s="26" t="inlineStr">
        <is>
          <t>POST</t>
        </is>
      </c>
      <c r="E100" s="26" t="inlineStr">
        <is>
          <t>Plane Strain Stress (Global) - Analysis Result Table</t>
        </is>
      </c>
      <c r="F100" s="26" t="n"/>
      <c r="G100" s="26" t="n"/>
      <c r="H100" s="26" t="inlineStr">
        <is>
          <t>POST</t>
        </is>
      </c>
      <c r="I100" s="26" t="inlineStr">
        <is>
          <t>TABLE</t>
        </is>
      </c>
      <c r="J100" s="26" t="n"/>
      <c r="K100" s="26" t="n"/>
      <c r="L100" s="26" t="inlineStr">
        <is>
          <t>/POST/TABLE</t>
        </is>
      </c>
      <c r="M100" s="26" t="inlineStr">
        <is>
          <t>PLANESTRAINSG</t>
        </is>
      </c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inlineStr">
        <is>
          <t>POST</t>
        </is>
      </c>
      <c r="W100" s="26" t="n"/>
      <c r="X100" s="26" t="n"/>
    </row>
    <row r="101">
      <c r="A101" s="26" t="n"/>
      <c r="B101" s="26" t="n"/>
      <c r="C101" s="26" t="inlineStr">
        <is>
          <t>POST</t>
        </is>
      </c>
      <c r="D101" s="26" t="inlineStr">
        <is>
          <t>POST</t>
        </is>
      </c>
      <c r="E101" s="26" t="inlineStr">
        <is>
          <t>Axisymmetric Force (Local) - Analysis Result Table</t>
        </is>
      </c>
      <c r="F101" s="26" t="n"/>
      <c r="G101" s="26" t="n"/>
      <c r="H101" s="26" t="inlineStr">
        <is>
          <t>POST</t>
        </is>
      </c>
      <c r="I101" s="26" t="inlineStr">
        <is>
          <t>TABLE</t>
        </is>
      </c>
      <c r="J101" s="26" t="n"/>
      <c r="K101" s="26" t="n"/>
      <c r="L101" s="26" t="inlineStr">
        <is>
          <t>/POST/TABLE</t>
        </is>
      </c>
      <c r="M101" s="26" t="inlineStr">
        <is>
          <t>AXISYMMETRICFL</t>
        </is>
      </c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inlineStr">
        <is>
          <t>POST</t>
        </is>
      </c>
      <c r="W101" s="26" t="n"/>
      <c r="X101" s="26" t="n"/>
    </row>
    <row r="102">
      <c r="A102" s="26" t="n"/>
      <c r="B102" s="26" t="n"/>
      <c r="C102" s="26" t="inlineStr">
        <is>
          <t>POST</t>
        </is>
      </c>
      <c r="D102" s="26" t="inlineStr">
        <is>
          <t>POST</t>
        </is>
      </c>
      <c r="E102" s="26" t="inlineStr">
        <is>
          <t>Axisymmetric Force (Global) - Analysis Result Table</t>
        </is>
      </c>
      <c r="F102" s="26" t="n"/>
      <c r="G102" s="26" t="n"/>
      <c r="H102" s="26" t="inlineStr">
        <is>
          <t>POST</t>
        </is>
      </c>
      <c r="I102" s="26" t="inlineStr">
        <is>
          <t>TABLE</t>
        </is>
      </c>
      <c r="J102" s="26" t="n"/>
      <c r="K102" s="26" t="n"/>
      <c r="L102" s="26" t="inlineStr">
        <is>
          <t>/POST/TABLE</t>
        </is>
      </c>
      <c r="M102" s="26" t="inlineStr">
        <is>
          <t>AXISYMMETRICFG</t>
        </is>
      </c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inlineStr">
        <is>
          <t>POST</t>
        </is>
      </c>
      <c r="W102" s="26" t="n"/>
      <c r="X102" s="26" t="n"/>
    </row>
    <row r="103">
      <c r="A103" s="26" t="n"/>
      <c r="B103" s="26" t="n"/>
      <c r="C103" s="26" t="inlineStr">
        <is>
          <t>POST</t>
        </is>
      </c>
      <c r="D103" s="26" t="inlineStr">
        <is>
          <t>POST</t>
        </is>
      </c>
      <c r="E103" s="26" t="inlineStr">
        <is>
          <t>Axisymmetric Stress (Local) - Analysis Result Table</t>
        </is>
      </c>
      <c r="F103" s="26" t="n"/>
      <c r="G103" s="26" t="n"/>
      <c r="H103" s="26" t="inlineStr">
        <is>
          <t>POST</t>
        </is>
      </c>
      <c r="I103" s="26" t="inlineStr">
        <is>
          <t>TABLE</t>
        </is>
      </c>
      <c r="J103" s="26" t="n"/>
      <c r="K103" s="26" t="n"/>
      <c r="L103" s="26" t="inlineStr">
        <is>
          <t>/POST/TABLE</t>
        </is>
      </c>
      <c r="M103" s="26" t="inlineStr">
        <is>
          <t>AXISYMMETRICSL</t>
        </is>
      </c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inlineStr">
        <is>
          <t>POST</t>
        </is>
      </c>
      <c r="W103" s="26" t="n"/>
      <c r="X103" s="26" t="n"/>
    </row>
    <row r="104">
      <c r="A104" s="26" t="n"/>
      <c r="B104" s="26" t="n"/>
      <c r="C104" s="26" t="inlineStr">
        <is>
          <t>POST</t>
        </is>
      </c>
      <c r="D104" s="26" t="inlineStr">
        <is>
          <t>POST</t>
        </is>
      </c>
      <c r="E104" s="26" t="inlineStr">
        <is>
          <t>Axisymmetric Stress (Global) - Analysis Result Table</t>
        </is>
      </c>
      <c r="F104" s="26" t="n"/>
      <c r="G104" s="26" t="n"/>
      <c r="H104" s="26" t="inlineStr">
        <is>
          <t>POST</t>
        </is>
      </c>
      <c r="I104" s="26" t="inlineStr">
        <is>
          <t>TABLE</t>
        </is>
      </c>
      <c r="J104" s="26" t="n"/>
      <c r="K104" s="26" t="n"/>
      <c r="L104" s="26" t="inlineStr">
        <is>
          <t>/POST/TABLE</t>
        </is>
      </c>
      <c r="M104" s="26" t="inlineStr">
        <is>
          <t>AXISYMMETRICSG</t>
        </is>
      </c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inlineStr">
        <is>
          <t>POST</t>
        </is>
      </c>
      <c r="W104" s="26" t="n"/>
      <c r="X104" s="26" t="n"/>
    </row>
    <row r="105">
      <c r="A105" s="26" t="n"/>
      <c r="B105" s="26" t="n"/>
      <c r="C105" s="26" t="inlineStr">
        <is>
          <t>POST</t>
        </is>
      </c>
      <c r="D105" s="26" t="inlineStr">
        <is>
          <t>POST</t>
        </is>
      </c>
      <c r="E105" s="26" t="inlineStr">
        <is>
          <t>Solid Force (Local) - Analysis Result Table</t>
        </is>
      </c>
      <c r="F105" s="26" t="n"/>
      <c r="G105" s="26" t="n"/>
      <c r="H105" s="26" t="inlineStr">
        <is>
          <t>POST</t>
        </is>
      </c>
      <c r="I105" s="26" t="inlineStr">
        <is>
          <t>TABLE</t>
        </is>
      </c>
      <c r="J105" s="26" t="n"/>
      <c r="K105" s="26" t="n"/>
      <c r="L105" s="26" t="inlineStr">
        <is>
          <t>/POST/TABLE</t>
        </is>
      </c>
      <c r="M105" s="26" t="inlineStr">
        <is>
          <t>SOLIDFL</t>
        </is>
      </c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inlineStr">
        <is>
          <t>POST</t>
        </is>
      </c>
      <c r="W105" s="26" t="n"/>
      <c r="X105" s="26" t="n"/>
    </row>
    <row r="106">
      <c r="A106" s="26" t="n"/>
      <c r="B106" s="26" t="n"/>
      <c r="C106" s="26" t="inlineStr">
        <is>
          <t>POST</t>
        </is>
      </c>
      <c r="D106" s="26" t="inlineStr">
        <is>
          <t>POST</t>
        </is>
      </c>
      <c r="E106" s="26" t="inlineStr">
        <is>
          <t>Solid Force (Global) - Analysis Result Table</t>
        </is>
      </c>
      <c r="F106" s="26" t="n"/>
      <c r="G106" s="26" t="n"/>
      <c r="H106" s="26" t="inlineStr">
        <is>
          <t>POST</t>
        </is>
      </c>
      <c r="I106" s="26" t="inlineStr">
        <is>
          <t>TABLE</t>
        </is>
      </c>
      <c r="J106" s="26" t="n"/>
      <c r="K106" s="26" t="n"/>
      <c r="L106" s="26" t="inlineStr">
        <is>
          <t>/POST/TABLE</t>
        </is>
      </c>
      <c r="M106" s="26" t="inlineStr">
        <is>
          <t>SOLIDFG</t>
        </is>
      </c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inlineStr">
        <is>
          <t>POST</t>
        </is>
      </c>
      <c r="W106" s="26" t="n"/>
      <c r="X106" s="26" t="n"/>
    </row>
    <row r="107">
      <c r="A107" s="26" t="n"/>
      <c r="B107" s="26" t="n"/>
      <c r="C107" s="26" t="inlineStr">
        <is>
          <t>POST</t>
        </is>
      </c>
      <c r="D107" s="26" t="inlineStr">
        <is>
          <t>POST</t>
        </is>
      </c>
      <c r="E107" s="26" t="inlineStr">
        <is>
          <t>Solid Stress (Local) - Analysis Result Table</t>
        </is>
      </c>
      <c r="F107" s="26" t="n"/>
      <c r="G107" s="26" t="n"/>
      <c r="H107" s="26" t="inlineStr">
        <is>
          <t>POST</t>
        </is>
      </c>
      <c r="I107" s="26" t="inlineStr">
        <is>
          <t>TABLE</t>
        </is>
      </c>
      <c r="J107" s="26" t="n"/>
      <c r="K107" s="26" t="n"/>
      <c r="L107" s="26" t="inlineStr">
        <is>
          <t>/POST/TABLE</t>
        </is>
      </c>
      <c r="M107" s="26" t="inlineStr">
        <is>
          <t>SOLIDSL</t>
        </is>
      </c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inlineStr">
        <is>
          <t>POST</t>
        </is>
      </c>
      <c r="W107" s="26" t="n"/>
      <c r="X107" s="26" t="n"/>
    </row>
    <row r="108">
      <c r="A108" s="26" t="n"/>
      <c r="B108" s="26" t="n"/>
      <c r="C108" s="26" t="inlineStr">
        <is>
          <t>POST</t>
        </is>
      </c>
      <c r="D108" s="26" t="inlineStr">
        <is>
          <t>POST</t>
        </is>
      </c>
      <c r="E108" s="26" t="inlineStr">
        <is>
          <t>Solid Stress (Global) - Analysis Result Table</t>
        </is>
      </c>
      <c r="F108" s="26" t="n"/>
      <c r="G108" s="26" t="n"/>
      <c r="H108" s="26" t="inlineStr">
        <is>
          <t>POST</t>
        </is>
      </c>
      <c r="I108" s="26" t="inlineStr">
        <is>
          <t>TABLE</t>
        </is>
      </c>
      <c r="J108" s="26" t="n"/>
      <c r="K108" s="26" t="n"/>
      <c r="L108" s="26" t="inlineStr">
        <is>
          <t>/POST/TABLE</t>
        </is>
      </c>
      <c r="M108" s="26" t="inlineStr">
        <is>
          <t>SOLIDSG</t>
        </is>
      </c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inlineStr">
        <is>
          <t>POST</t>
        </is>
      </c>
      <c r="W108" s="26" t="n"/>
      <c r="X108" s="26" t="n"/>
    </row>
    <row r="109">
      <c r="A109" s="26" t="n"/>
      <c r="B109" s="26" t="n"/>
      <c r="C109" s="26" t="inlineStr">
        <is>
          <t>POST</t>
        </is>
      </c>
      <c r="D109" s="26" t="inlineStr">
        <is>
          <t>POST</t>
        </is>
      </c>
      <c r="E109" s="26" t="inlineStr">
        <is>
          <t>Solid Strain (Local) - Analysis Result Table</t>
        </is>
      </c>
      <c r="F109" s="26" t="n"/>
      <c r="G109" s="26" t="n"/>
      <c r="H109" s="26" t="inlineStr">
        <is>
          <t>POST</t>
        </is>
      </c>
      <c r="I109" s="26" t="inlineStr">
        <is>
          <t>TABLE</t>
        </is>
      </c>
      <c r="J109" s="26" t="n"/>
      <c r="K109" s="26" t="n"/>
      <c r="L109" s="26" t="inlineStr">
        <is>
          <t>/POST/TABLE</t>
        </is>
      </c>
      <c r="M109" s="26" t="inlineStr">
        <is>
          <t>SOLID_LOCA_TOTAL_STRAIN</t>
        </is>
      </c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inlineStr">
        <is>
          <t>POST</t>
        </is>
      </c>
      <c r="W109" s="26" t="n"/>
      <c r="X109" s="26" t="n"/>
    </row>
    <row r="110">
      <c r="A110" s="26" t="n"/>
      <c r="B110" s="26" t="n"/>
      <c r="C110" s="26" t="inlineStr">
        <is>
          <t>POST</t>
        </is>
      </c>
      <c r="D110" s="26" t="inlineStr">
        <is>
          <t>POST</t>
        </is>
      </c>
      <c r="E110" s="26" t="inlineStr">
        <is>
          <t>Solid Strain (Global) - Analysis Result Table</t>
        </is>
      </c>
      <c r="F110" s="26" t="n"/>
      <c r="G110" s="26" t="n"/>
      <c r="H110" s="26" t="inlineStr">
        <is>
          <t>POST</t>
        </is>
      </c>
      <c r="I110" s="26" t="inlineStr">
        <is>
          <t>TABLE</t>
        </is>
      </c>
      <c r="J110" s="26" t="n"/>
      <c r="K110" s="26" t="n"/>
      <c r="L110" s="26" t="inlineStr">
        <is>
          <t>/POST/TABLE</t>
        </is>
      </c>
      <c r="M110" s="26" t="inlineStr">
        <is>
          <t>SOLID_GLOB_TOTAL_STRAIN</t>
        </is>
      </c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inlineStr">
        <is>
          <t>POST</t>
        </is>
      </c>
      <c r="W110" s="26" t="n"/>
      <c r="X110" s="26" t="n"/>
    </row>
    <row r="111">
      <c r="A111" s="26" t="n"/>
      <c r="B111" s="26" t="n"/>
      <c r="C111" s="26" t="inlineStr">
        <is>
          <t>POST</t>
        </is>
      </c>
      <c r="D111" s="26" t="inlineStr">
        <is>
          <t>POST</t>
        </is>
      </c>
      <c r="E111" s="26" t="inlineStr">
        <is>
          <t>Elastic Link - Analysis Result Table</t>
        </is>
      </c>
      <c r="F111" s="26" t="n"/>
      <c r="G111" s="26" t="n"/>
      <c r="H111" s="26" t="inlineStr">
        <is>
          <t>POST</t>
        </is>
      </c>
      <c r="I111" s="26" t="inlineStr">
        <is>
          <t>TABLE</t>
        </is>
      </c>
      <c r="J111" s="26" t="n"/>
      <c r="K111" s="26" t="n"/>
      <c r="L111" s="26" t="inlineStr">
        <is>
          <t>/POST/TABLE</t>
        </is>
      </c>
      <c r="M111" s="26" t="inlineStr">
        <is>
          <t>ELASTICLINK</t>
        </is>
      </c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inlineStr">
        <is>
          <t>POST</t>
        </is>
      </c>
      <c r="W111" s="26" t="n"/>
      <c r="X111" s="26" t="n"/>
    </row>
    <row r="112">
      <c r="A112" s="26" t="n"/>
      <c r="B112" s="26" t="n"/>
      <c r="C112" s="26" t="inlineStr">
        <is>
          <t>POST</t>
        </is>
      </c>
      <c r="D112" s="26" t="inlineStr">
        <is>
          <t>POST</t>
        </is>
      </c>
      <c r="E112" s="26" t="inlineStr">
        <is>
          <t>General Link - Analysis Result Table</t>
        </is>
      </c>
      <c r="F112" s="26" t="n"/>
      <c r="G112" s="26" t="n"/>
      <c r="H112" s="26" t="inlineStr">
        <is>
          <t>POST</t>
        </is>
      </c>
      <c r="I112" s="26" t="inlineStr">
        <is>
          <t>TABLE</t>
        </is>
      </c>
      <c r="J112" s="26" t="n"/>
      <c r="K112" s="26" t="n"/>
      <c r="L112" s="26" t="inlineStr">
        <is>
          <t>/POST/TABLE</t>
        </is>
      </c>
      <c r="M112" s="26" t="inlineStr">
        <is>
          <t>GENERAL_LINK_FORCE</t>
        </is>
      </c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inlineStr">
        <is>
          <t>POST</t>
        </is>
      </c>
      <c r="W112" s="26" t="n"/>
      <c r="X112" s="26" t="n"/>
    </row>
    <row r="113">
      <c r="A113" s="26" t="n"/>
      <c r="B113" s="26" t="n"/>
      <c r="C113" s="26" t="inlineStr">
        <is>
          <t>POST</t>
        </is>
      </c>
      <c r="D113" s="26" t="inlineStr">
        <is>
          <t>POST</t>
        </is>
      </c>
      <c r="E113" s="26" t="inlineStr">
        <is>
          <t>Resultant Forces - Analysis Result Table</t>
        </is>
      </c>
      <c r="F113" s="26" t="n"/>
      <c r="G113" s="26" t="n"/>
      <c r="H113" s="26" t="inlineStr">
        <is>
          <t>POST</t>
        </is>
      </c>
      <c r="I113" s="26" t="inlineStr">
        <is>
          <t>TABLE</t>
        </is>
      </c>
      <c r="J113" s="26" t="n"/>
      <c r="K113" s="26" t="n"/>
      <c r="L113" s="26" t="inlineStr">
        <is>
          <t>/POST/TABLE</t>
        </is>
      </c>
      <c r="M113" s="26" t="inlineStr">
        <is>
          <t>RESULTANT_FORCES</t>
        </is>
      </c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inlineStr">
        <is>
          <t>POST</t>
        </is>
      </c>
      <c r="W113" s="26" t="n"/>
      <c r="X113" s="26" t="n"/>
    </row>
    <row r="114">
      <c r="A114" s="26" t="n"/>
      <c r="B114" s="26" t="n"/>
      <c r="C114" s="26" t="inlineStr">
        <is>
          <t>POST</t>
        </is>
      </c>
      <c r="D114" s="26" t="inlineStr">
        <is>
          <t>POST</t>
        </is>
      </c>
      <c r="E114" s="26" t="inlineStr">
        <is>
          <t>Vibration Mode Shape - Analysis Result Table</t>
        </is>
      </c>
      <c r="F114" s="26" t="n"/>
      <c r="G114" s="26" t="n"/>
      <c r="H114" s="26" t="inlineStr">
        <is>
          <t>POST</t>
        </is>
      </c>
      <c r="I114" s="26" t="inlineStr">
        <is>
          <t>TABLE</t>
        </is>
      </c>
      <c r="J114" s="26" t="n"/>
      <c r="K114" s="26" t="n"/>
      <c r="L114" s="26" t="inlineStr">
        <is>
          <t>/POST/TABLE</t>
        </is>
      </c>
      <c r="M114" s="26" t="inlineStr">
        <is>
          <t>EIGENVALUEMODE</t>
        </is>
      </c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inlineStr">
        <is>
          <t>POST</t>
        </is>
      </c>
      <c r="W114" s="26" t="n"/>
      <c r="X114" s="26" t="n"/>
    </row>
    <row r="115">
      <c r="A115" s="26" t="n"/>
      <c r="B115" s="26" t="n"/>
      <c r="C115" s="26" t="inlineStr">
        <is>
          <t>POST</t>
        </is>
      </c>
      <c r="D115" s="26" t="inlineStr">
        <is>
          <t>POST</t>
        </is>
      </c>
      <c r="E115" s="26" t="inlineStr">
        <is>
          <t>Buckling Mode Shape - Analysis Result Table</t>
        </is>
      </c>
      <c r="F115" s="26" t="n"/>
      <c r="G115" s="26" t="n"/>
      <c r="H115" s="26" t="inlineStr">
        <is>
          <t>POST</t>
        </is>
      </c>
      <c r="I115" s="26" t="inlineStr">
        <is>
          <t>TABLE</t>
        </is>
      </c>
      <c r="J115" s="26" t="n"/>
      <c r="K115" s="26" t="n"/>
      <c r="L115" s="26" t="inlineStr">
        <is>
          <t>/POST/TABLE</t>
        </is>
      </c>
      <c r="M115" s="26" t="inlineStr">
        <is>
          <t>BUCKLINGMODE</t>
        </is>
      </c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inlineStr">
        <is>
          <t>POST</t>
        </is>
      </c>
      <c r="W115" s="26" t="n"/>
      <c r="X115" s="26" t="n"/>
    </row>
    <row r="116">
      <c r="A116" s="26" t="n"/>
      <c r="B116" s="26" t="n"/>
      <c r="C116" s="26" t="inlineStr">
        <is>
          <t>POST</t>
        </is>
      </c>
      <c r="D116" s="26" t="inlineStr">
        <is>
          <t>POST</t>
        </is>
      </c>
      <c r="E116" s="26" t="inlineStr">
        <is>
          <t>Effective Span Length - Analysis Result Table</t>
        </is>
      </c>
      <c r="F116" s="26" t="n"/>
      <c r="G116" s="26" t="n"/>
      <c r="H116" s="26" t="inlineStr">
        <is>
          <t>POST</t>
        </is>
      </c>
      <c r="I116" s="26" t="inlineStr">
        <is>
          <t>TABLE</t>
        </is>
      </c>
      <c r="J116" s="26" t="n"/>
      <c r="K116" s="26" t="n"/>
      <c r="L116" s="26" t="inlineStr">
        <is>
          <t>/POST/TABLE</t>
        </is>
      </c>
      <c r="M116" s="26" t="inlineStr">
        <is>
          <t>EFFECTIVE_LENGTH_TRUSS</t>
        </is>
      </c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inlineStr">
        <is>
          <t>POST</t>
        </is>
      </c>
      <c r="W116" s="26" t="n"/>
      <c r="X116" s="26" t="n"/>
    </row>
    <row r="117">
      <c r="A117" s="26" t="n"/>
      <c r="B117" s="26" t="n"/>
      <c r="C117" s="26" t="inlineStr">
        <is>
          <t>POST</t>
        </is>
      </c>
      <c r="D117" s="26" t="inlineStr">
        <is>
          <t>POST</t>
        </is>
      </c>
      <c r="E117" s="26" t="inlineStr">
        <is>
          <t>Nodal Results of RS - Analysis Result Table</t>
        </is>
      </c>
      <c r="F117" s="26" t="n"/>
      <c r="G117" s="26" t="n"/>
      <c r="H117" s="26" t="inlineStr">
        <is>
          <t>POST</t>
        </is>
      </c>
      <c r="I117" s="26" t="inlineStr">
        <is>
          <t>TABLE</t>
        </is>
      </c>
      <c r="J117" s="26" t="n"/>
      <c r="K117" s="26" t="n"/>
      <c r="L117" s="26" t="inlineStr">
        <is>
          <t>/POST/TABLE</t>
        </is>
      </c>
      <c r="M117" s="26" t="inlineStr">
        <is>
          <t>RS_NODAL_INERTIA</t>
        </is>
      </c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inlineStr">
        <is>
          <t>POST</t>
        </is>
      </c>
      <c r="W117" s="26" t="n"/>
      <c r="X117" s="26" t="n"/>
    </row>
    <row r="118">
      <c r="A118" s="26" t="n"/>
      <c r="B118" s="26" t="n"/>
      <c r="C118" s="26" t="inlineStr">
        <is>
          <t>POST</t>
        </is>
      </c>
      <c r="D118" s="26" t="inlineStr">
        <is>
          <t>POST</t>
        </is>
      </c>
      <c r="E118" s="26" t="inlineStr">
        <is>
          <t>Tendon Coordinates - Analysis Result Table</t>
        </is>
      </c>
      <c r="F118" s="26" t="n"/>
      <c r="G118" s="26" t="n"/>
      <c r="H118" s="26" t="inlineStr">
        <is>
          <t>POST</t>
        </is>
      </c>
      <c r="I118" s="26" t="inlineStr">
        <is>
          <t>TABLE</t>
        </is>
      </c>
      <c r="J118" s="26" t="n"/>
      <c r="K118" s="26" t="n"/>
      <c r="L118" s="26" t="inlineStr">
        <is>
          <t>/POST/TABLE</t>
        </is>
      </c>
      <c r="M118" s="26" t="inlineStr">
        <is>
          <t>TNDN_COORDINATES</t>
        </is>
      </c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inlineStr">
        <is>
          <t>POST</t>
        </is>
      </c>
      <c r="W118" s="26" t="n"/>
      <c r="X118" s="26" t="n"/>
    </row>
    <row r="119">
      <c r="A119" s="26" t="n"/>
      <c r="B119" s="26" t="n"/>
      <c r="C119" s="26" t="inlineStr">
        <is>
          <t>POST</t>
        </is>
      </c>
      <c r="D119" s="26" t="inlineStr">
        <is>
          <t>POST</t>
        </is>
      </c>
      <c r="E119" s="26" t="inlineStr">
        <is>
          <t>Tendon Elongation - Analysis Result Table</t>
        </is>
      </c>
      <c r="F119" s="26" t="n"/>
      <c r="G119" s="26" t="n"/>
      <c r="H119" s="26" t="inlineStr">
        <is>
          <t>POST</t>
        </is>
      </c>
      <c r="I119" s="26" t="inlineStr">
        <is>
          <t>TABLE</t>
        </is>
      </c>
      <c r="J119" s="26" t="n"/>
      <c r="K119" s="26" t="n"/>
      <c r="L119" s="26" t="inlineStr">
        <is>
          <t>/POST/TABLE</t>
        </is>
      </c>
      <c r="M119" s="26" t="inlineStr">
        <is>
          <t>TNDN_ELONGATION</t>
        </is>
      </c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inlineStr">
        <is>
          <t>POST</t>
        </is>
      </c>
      <c r="W119" s="26" t="n"/>
      <c r="X119" s="26" t="n"/>
    </row>
    <row r="120">
      <c r="A120" s="26" t="n"/>
      <c r="B120" s="26" t="n"/>
      <c r="C120" s="26" t="inlineStr">
        <is>
          <t>POST</t>
        </is>
      </c>
      <c r="D120" s="26" t="inlineStr">
        <is>
          <t>POST</t>
        </is>
      </c>
      <c r="E120" s="26" t="inlineStr">
        <is>
          <t>Tendon Arrangement - Analysis Result Table</t>
        </is>
      </c>
      <c r="F120" s="26" t="n"/>
      <c r="G120" s="26" t="n"/>
      <c r="H120" s="26" t="inlineStr">
        <is>
          <t>POST</t>
        </is>
      </c>
      <c r="I120" s="26" t="inlineStr">
        <is>
          <t>TABLE</t>
        </is>
      </c>
      <c r="J120" s="26" t="n"/>
      <c r="K120" s="26" t="n"/>
      <c r="L120" s="26" t="inlineStr">
        <is>
          <t>/POST/TABLE</t>
        </is>
      </c>
      <c r="M120" s="26" t="inlineStr">
        <is>
          <t>TNDN_ARRANGEMENT</t>
        </is>
      </c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inlineStr">
        <is>
          <t>POST</t>
        </is>
      </c>
      <c r="W120" s="26" t="n"/>
      <c r="X120" s="26" t="n"/>
    </row>
    <row r="121">
      <c r="A121" s="26" t="n"/>
      <c r="B121" s="26" t="n"/>
      <c r="C121" s="26" t="inlineStr">
        <is>
          <t>POST</t>
        </is>
      </c>
      <c r="D121" s="26" t="inlineStr">
        <is>
          <t>POST</t>
        </is>
      </c>
      <c r="E121" s="26" t="inlineStr">
        <is>
          <t>Tendon Loss - Analysis Result Table</t>
        </is>
      </c>
      <c r="F121" s="26" t="n"/>
      <c r="G121" s="26" t="n"/>
      <c r="H121" s="26" t="inlineStr">
        <is>
          <t>POST</t>
        </is>
      </c>
      <c r="I121" s="26" t="inlineStr">
        <is>
          <t>TABLE</t>
        </is>
      </c>
      <c r="J121" s="26" t="n"/>
      <c r="K121" s="26" t="n"/>
      <c r="L121" s="26" t="inlineStr">
        <is>
          <t>/POST/TABLE</t>
        </is>
      </c>
      <c r="M121" s="26" t="inlineStr">
        <is>
          <t>TNDN_LOSS_STRESS</t>
        </is>
      </c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inlineStr">
        <is>
          <t>POST</t>
        </is>
      </c>
      <c r="W121" s="26" t="n"/>
      <c r="X121" s="26" t="n"/>
    </row>
    <row r="122">
      <c r="A122" s="26" t="n"/>
      <c r="B122" s="26" t="n"/>
      <c r="C122" s="26" t="inlineStr">
        <is>
          <t>POST</t>
        </is>
      </c>
      <c r="D122" s="26" t="inlineStr">
        <is>
          <t>POST</t>
        </is>
      </c>
      <c r="E122" s="26" t="inlineStr">
        <is>
          <t>Tendon Weight - Analysis Result Table</t>
        </is>
      </c>
      <c r="F122" s="26" t="n"/>
      <c r="G122" s="26" t="n"/>
      <c r="H122" s="26" t="inlineStr">
        <is>
          <t>POST</t>
        </is>
      </c>
      <c r="I122" s="26" t="inlineStr">
        <is>
          <t>TABLE</t>
        </is>
      </c>
      <c r="J122" s="26" t="n"/>
      <c r="K122" s="26" t="n"/>
      <c r="L122" s="26" t="inlineStr">
        <is>
          <t>/POST/TABLE</t>
        </is>
      </c>
      <c r="M122" s="26" t="inlineStr">
        <is>
          <t>TNDN_WEIGHT_PROFILE</t>
        </is>
      </c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inlineStr">
        <is>
          <t>POST</t>
        </is>
      </c>
      <c r="W122" s="26" t="n"/>
      <c r="X122" s="26" t="n"/>
    </row>
    <row r="123">
      <c r="A123" s="26" t="n"/>
      <c r="B123" s="26" t="n"/>
      <c r="C123" s="26" t="inlineStr">
        <is>
          <t>POST</t>
        </is>
      </c>
      <c r="D123" s="26" t="inlineStr">
        <is>
          <t>POST</t>
        </is>
      </c>
      <c r="E123" s="26" t="inlineStr">
        <is>
          <t>Tendon Stress Limit Check - Analysis Result Table</t>
        </is>
      </c>
      <c r="F123" s="26" t="n"/>
      <c r="G123" s="26" t="n"/>
      <c r="H123" s="26" t="inlineStr">
        <is>
          <t>POST</t>
        </is>
      </c>
      <c r="I123" s="26" t="inlineStr">
        <is>
          <t>TABLE</t>
        </is>
      </c>
      <c r="J123" s="26" t="n"/>
      <c r="K123" s="26" t="n"/>
      <c r="L123" s="26" t="inlineStr">
        <is>
          <t>/POST/TABLE</t>
        </is>
      </c>
      <c r="M123" s="26" t="inlineStr">
        <is>
          <t>TNDN_STRS_LIMIT_CHECK</t>
        </is>
      </c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inlineStr">
        <is>
          <t>POST</t>
        </is>
      </c>
      <c r="W123" s="26" t="n"/>
      <c r="X123" s="26" t="n"/>
    </row>
    <row r="124">
      <c r="A124" s="26" t="n"/>
      <c r="B124" s="26" t="n"/>
      <c r="C124" s="26" t="inlineStr">
        <is>
          <t>POST</t>
        </is>
      </c>
      <c r="D124" s="26" t="inlineStr">
        <is>
          <t>POST</t>
        </is>
      </c>
      <c r="E124" s="26" t="inlineStr">
        <is>
          <t>Tendon Approximate Loss - Analysis Result Table</t>
        </is>
      </c>
      <c r="F124" s="26" t="n"/>
      <c r="G124" s="26" t="n"/>
      <c r="H124" s="26" t="inlineStr">
        <is>
          <t>POST</t>
        </is>
      </c>
      <c r="I124" s="26" t="inlineStr">
        <is>
          <t>TABLE</t>
        </is>
      </c>
      <c r="J124" s="26" t="n"/>
      <c r="K124" s="26" t="n"/>
      <c r="L124" s="26" t="inlineStr">
        <is>
          <t>/POST/TABLE</t>
        </is>
      </c>
      <c r="M124" s="26" t="inlineStr">
        <is>
          <t>TNDN_APPROX_LOSS_STRESS</t>
        </is>
      </c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inlineStr">
        <is>
          <t>POST</t>
        </is>
      </c>
      <c r="W124" s="26" t="n"/>
      <c r="X124" s="26" t="n"/>
    </row>
    <row r="125">
      <c r="A125" s="26" t="n"/>
      <c r="B125" s="26" t="n"/>
      <c r="C125" s="26" t="inlineStr">
        <is>
          <t>POST</t>
        </is>
      </c>
      <c r="D125" s="26" t="inlineStr">
        <is>
          <t>POST</t>
        </is>
      </c>
      <c r="E125" s="26" t="inlineStr">
        <is>
          <t>Composite Section for C.S. (Force and Stress) - Analysis Result Table</t>
        </is>
      </c>
      <c r="F125" s="26" t="n"/>
      <c r="G125" s="26" t="n"/>
      <c r="H125" s="26" t="inlineStr">
        <is>
          <t>POST</t>
        </is>
      </c>
      <c r="I125" s="26" t="inlineStr">
        <is>
          <t>TABLE</t>
        </is>
      </c>
      <c r="J125" s="26" t="n"/>
      <c r="K125" s="26" t="n"/>
      <c r="L125" s="26" t="inlineStr">
        <is>
          <t>/POST/TABLE</t>
        </is>
      </c>
      <c r="M125" s="26" t="inlineStr">
        <is>
          <t>COMPSECTBEAMFORCE</t>
        </is>
      </c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inlineStr">
        <is>
          <t>POST</t>
        </is>
      </c>
      <c r="W125" s="26" t="n"/>
      <c r="X125" s="26" t="n"/>
    </row>
    <row r="126">
      <c r="A126" s="26" t="n"/>
      <c r="B126" s="26" t="n"/>
      <c r="C126" s="26" t="inlineStr">
        <is>
          <t>POST</t>
        </is>
      </c>
      <c r="D126" s="26" t="inlineStr">
        <is>
          <t>POST</t>
        </is>
      </c>
      <c r="E126" s="26" t="inlineStr">
        <is>
          <t>Composite Section for C.S. (Self-Constraint Force and Stress) - Analysis Result Table</t>
        </is>
      </c>
      <c r="F126" s="26" t="n"/>
      <c r="G126" s="26" t="n"/>
      <c r="H126" s="26" t="inlineStr">
        <is>
          <t>POST</t>
        </is>
      </c>
      <c r="I126" s="26" t="inlineStr">
        <is>
          <t>TABLE</t>
        </is>
      </c>
      <c r="J126" s="26" t="n"/>
      <c r="K126" s="26" t="n"/>
      <c r="L126" s="26" t="inlineStr">
        <is>
          <t>/POST/TABLE</t>
        </is>
      </c>
      <c r="M126" s="26" t="inlineStr">
        <is>
          <t>SELF_CONST_BEAM_FORCE</t>
        </is>
      </c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inlineStr">
        <is>
          <t>POST</t>
        </is>
      </c>
      <c r="W126" s="26" t="n"/>
      <c r="X126" s="26" t="n"/>
    </row>
    <row r="127">
      <c r="A127" s="26" t="n"/>
      <c r="B127" s="26" t="n"/>
      <c r="C127" s="26" t="inlineStr">
        <is>
          <t>POST</t>
        </is>
      </c>
      <c r="D127" s="26" t="inlineStr">
        <is>
          <t>POST</t>
        </is>
      </c>
      <c r="E127" s="26" t="inlineStr">
        <is>
          <t>Element Properties at Each Stage - Analysis Result Table</t>
        </is>
      </c>
      <c r="F127" s="26" t="n"/>
      <c r="G127" s="26" t="n"/>
      <c r="H127" s="26" t="inlineStr">
        <is>
          <t>POST</t>
        </is>
      </c>
      <c r="I127" s="26" t="inlineStr">
        <is>
          <t>TABLE</t>
        </is>
      </c>
      <c r="J127" s="26" t="n"/>
      <c r="K127" s="26" t="n"/>
      <c r="L127" s="26" t="inlineStr">
        <is>
          <t>/POST/TABLE</t>
        </is>
      </c>
      <c r="M127" s="26" t="inlineStr">
        <is>
          <t>ELEM_PROP_EACH_STAGE</t>
        </is>
      </c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inlineStr">
        <is>
          <t>POST</t>
        </is>
      </c>
      <c r="W127" s="26" t="n"/>
      <c r="X127" s="26" t="n"/>
    </row>
    <row r="128">
      <c r="A128" s="26" t="n"/>
      <c r="B128" s="26" t="n"/>
      <c r="C128" s="26" t="inlineStr">
        <is>
          <t>POST</t>
        </is>
      </c>
      <c r="D128" s="26" t="inlineStr">
        <is>
          <t>POST</t>
        </is>
      </c>
      <c r="E128" s="26" t="inlineStr">
        <is>
          <t>Beam Section Properties at Last Stage - Analysis Result Table</t>
        </is>
      </c>
      <c r="F128" s="26" t="n"/>
      <c r="G128" s="26" t="n"/>
      <c r="H128" s="26" t="inlineStr">
        <is>
          <t>POST</t>
        </is>
      </c>
      <c r="I128" s="26" t="inlineStr">
        <is>
          <t>TABLE</t>
        </is>
      </c>
      <c r="J128" s="26" t="n"/>
      <c r="K128" s="26" t="n"/>
      <c r="L128" s="26" t="inlineStr">
        <is>
          <t>/POST/TABLE</t>
        </is>
      </c>
      <c r="M128" s="26" t="inlineStr">
        <is>
          <t>SECT_PROP_LAST_STAGE</t>
        </is>
      </c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inlineStr">
        <is>
          <t>POST</t>
        </is>
      </c>
      <c r="W128" s="26" t="n"/>
      <c r="X128" s="26" t="n"/>
    </row>
    <row r="129">
      <c r="A129" s="26" t="n"/>
      <c r="B129" s="26" t="n"/>
      <c r="C129" s="26" t="inlineStr">
        <is>
          <t>POST</t>
        </is>
      </c>
      <c r="D129" s="26" t="inlineStr">
        <is>
          <t>POST</t>
        </is>
      </c>
      <c r="E129" s="26" t="inlineStr">
        <is>
          <t>Lack of Fit Force (Truss) - Analysis Result Table</t>
        </is>
      </c>
      <c r="F129" s="26" t="n"/>
      <c r="G129" s="26" t="n"/>
      <c r="H129" s="26" t="inlineStr">
        <is>
          <t>POST</t>
        </is>
      </c>
      <c r="I129" s="26" t="inlineStr">
        <is>
          <t>TABLE</t>
        </is>
      </c>
      <c r="J129" s="26" t="n"/>
      <c r="K129" s="26" t="n"/>
      <c r="L129" s="26" t="inlineStr">
        <is>
          <t>/POST/TABLE</t>
        </is>
      </c>
      <c r="M129" s="26" t="inlineStr">
        <is>
          <t>LACK_OF_FIT_FORCE_TRUSS</t>
        </is>
      </c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inlineStr">
        <is>
          <t>POST</t>
        </is>
      </c>
      <c r="W129" s="26" t="n"/>
      <c r="X129" s="26" t="n"/>
    </row>
    <row r="130">
      <c r="A130" s="26" t="n"/>
      <c r="B130" s="26" t="n"/>
      <c r="C130" s="26" t="inlineStr">
        <is>
          <t>POST</t>
        </is>
      </c>
      <c r="D130" s="26" t="inlineStr">
        <is>
          <t>POST</t>
        </is>
      </c>
      <c r="E130" s="26" t="inlineStr">
        <is>
          <t>Lack of Fit Force (Beam) - Analysis Result Table</t>
        </is>
      </c>
      <c r="F130" s="26" t="n"/>
      <c r="G130" s="26" t="n"/>
      <c r="H130" s="26" t="inlineStr">
        <is>
          <t>POST</t>
        </is>
      </c>
      <c r="I130" s="26" t="inlineStr">
        <is>
          <t>TABLE</t>
        </is>
      </c>
      <c r="J130" s="26" t="n"/>
      <c r="K130" s="26" t="n"/>
      <c r="L130" s="26" t="inlineStr">
        <is>
          <t>/POST/TABLE</t>
        </is>
      </c>
      <c r="M130" s="26" t="inlineStr">
        <is>
          <t>LACK_OF_FIT_FORCE_BEAM</t>
        </is>
      </c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inlineStr">
        <is>
          <t>POST</t>
        </is>
      </c>
      <c r="W130" s="26" t="n"/>
      <c r="X130" s="26" t="n"/>
    </row>
    <row r="131">
      <c r="A131" s="26" t="n"/>
      <c r="B131" s="26" t="n"/>
      <c r="C131" s="26" t="inlineStr">
        <is>
          <t>POST</t>
        </is>
      </c>
      <c r="D131" s="26" t="inlineStr">
        <is>
          <t>POST</t>
        </is>
      </c>
      <c r="E131" s="26" t="inlineStr">
        <is>
          <t>Lack of Fit Force (Plate) - Analysis Result Table</t>
        </is>
      </c>
      <c r="F131" s="26" t="n"/>
      <c r="G131" s="26" t="n"/>
      <c r="H131" s="26" t="inlineStr">
        <is>
          <t>POST</t>
        </is>
      </c>
      <c r="I131" s="26" t="inlineStr">
        <is>
          <t>TABLE</t>
        </is>
      </c>
      <c r="J131" s="26" t="n"/>
      <c r="K131" s="26" t="n"/>
      <c r="L131" s="26" t="inlineStr">
        <is>
          <t>/POST/TABLE</t>
        </is>
      </c>
      <c r="M131" s="26" t="inlineStr">
        <is>
          <t>LACK_OF_FIT_FORCE_PLATE</t>
        </is>
      </c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inlineStr">
        <is>
          <t>POST</t>
        </is>
      </c>
      <c r="W131" s="26" t="n"/>
      <c r="X131" s="26" t="n"/>
    </row>
    <row r="132">
      <c r="A132" s="26" t="n"/>
      <c r="B132" s="26" t="n"/>
      <c r="C132" s="26" t="inlineStr">
        <is>
          <t>POST</t>
        </is>
      </c>
      <c r="D132" s="26" t="inlineStr">
        <is>
          <t>POST</t>
        </is>
      </c>
      <c r="E132" s="26" t="inlineStr">
        <is>
          <t>Equilibrium Element Nodal Force - Analysis Result Table</t>
        </is>
      </c>
      <c r="F132" s="26" t="n"/>
      <c r="G132" s="26" t="n"/>
      <c r="H132" s="26" t="inlineStr">
        <is>
          <t>POST</t>
        </is>
      </c>
      <c r="I132" s="26" t="inlineStr">
        <is>
          <t>TABLE</t>
        </is>
      </c>
      <c r="J132" s="26" t="n"/>
      <c r="K132" s="26" t="n"/>
      <c r="L132" s="26" t="inlineStr">
        <is>
          <t>/POST/TABLE</t>
        </is>
      </c>
      <c r="M132" s="26" t="inlineStr">
        <is>
          <t>EQUILIBRIUM_ELEM_FORCE</t>
        </is>
      </c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inlineStr">
        <is>
          <t>POST</t>
        </is>
      </c>
      <c r="W132" s="26" t="n"/>
      <c r="X132" s="26" t="n"/>
    </row>
    <row r="133">
      <c r="A133" s="26" t="n"/>
      <c r="B133" s="26" t="n"/>
      <c r="C133" s="26" t="inlineStr">
        <is>
          <t>POST</t>
        </is>
      </c>
      <c r="D133" s="26" t="inlineStr">
        <is>
          <t>POST</t>
        </is>
      </c>
      <c r="E133" s="26" t="inlineStr">
        <is>
          <t>Initial Element Force - Analysis Result Table</t>
        </is>
      </c>
      <c r="F133" s="26" t="n"/>
      <c r="G133" s="26" t="n"/>
      <c r="H133" s="26" t="inlineStr">
        <is>
          <t>POST</t>
        </is>
      </c>
      <c r="I133" s="26" t="inlineStr">
        <is>
          <t>TABLE</t>
        </is>
      </c>
      <c r="J133" s="26" t="n"/>
      <c r="K133" s="26" t="n"/>
      <c r="L133" s="26" t="inlineStr">
        <is>
          <t>/POST/TABLE</t>
        </is>
      </c>
      <c r="M133" s="26" t="inlineStr">
        <is>
          <t>INITIAL_ELEM_FORCE</t>
        </is>
      </c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inlineStr">
        <is>
          <t>POST</t>
        </is>
      </c>
      <c r="W133" s="26" t="n"/>
      <c r="X133" s="26" t="n"/>
    </row>
    <row r="134">
      <c r="A134" s="26" t="n"/>
      <c r="B134" s="26" t="n"/>
      <c r="C134" s="26" t="inlineStr">
        <is>
          <t>POST</t>
        </is>
      </c>
      <c r="D134" s="26" t="inlineStr">
        <is>
          <t>POST</t>
        </is>
      </c>
      <c r="E134" s="26" t="inlineStr">
        <is>
          <t>Wall Force - Analysis Result Table</t>
        </is>
      </c>
      <c r="F134" s="26" t="n"/>
      <c r="G134" s="26" t="n"/>
      <c r="H134" s="26" t="inlineStr">
        <is>
          <t>POST</t>
        </is>
      </c>
      <c r="I134" s="26" t="inlineStr">
        <is>
          <t>TABLE</t>
        </is>
      </c>
      <c r="J134" s="26" t="n"/>
      <c r="K134" s="26" t="n"/>
      <c r="L134" s="26" t="inlineStr">
        <is>
          <t>/POST/TABLE</t>
        </is>
      </c>
      <c r="M134" s="26" t="inlineStr">
        <is>
          <t>WALL_FORCE_MOMENT</t>
        </is>
      </c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inlineStr">
        <is>
          <t>POST</t>
        </is>
      </c>
      <c r="W134" s="26" t="n"/>
      <c r="X134" s="26" t="n"/>
    </row>
    <row r="135">
      <c r="A135" s="26" t="n"/>
      <c r="B135" s="26" t="n"/>
      <c r="C135" s="26" t="inlineStr">
        <is>
          <t>POST</t>
        </is>
      </c>
      <c r="D135" s="26" t="inlineStr">
        <is>
          <t>POST</t>
        </is>
      </c>
      <c r="E135" s="26" t="inlineStr">
        <is>
          <t>Story Drift(X,Y,Combine) - Story Result Table</t>
        </is>
      </c>
      <c r="F135" s="26" t="n"/>
      <c r="G135" s="26" t="n"/>
      <c r="H135" s="26" t="inlineStr">
        <is>
          <t>POST</t>
        </is>
      </c>
      <c r="I135" s="26" t="inlineStr">
        <is>
          <t>TABLE</t>
        </is>
      </c>
      <c r="J135" s="26" t="n"/>
      <c r="K135" s="26" t="n"/>
      <c r="L135" s="26" t="inlineStr">
        <is>
          <t>/POST/TABLE</t>
        </is>
      </c>
      <c r="M135" s="26" t="inlineStr">
        <is>
          <t>STORY_DRIFT_X</t>
        </is>
      </c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inlineStr">
        <is>
          <t>POST</t>
        </is>
      </c>
      <c r="W135" s="26" t="n"/>
      <c r="X135" s="26" t="n"/>
    </row>
    <row r="136">
      <c r="A136" s="26" t="n"/>
      <c r="B136" s="26" t="n"/>
      <c r="C136" s="26" t="inlineStr">
        <is>
          <t>POST</t>
        </is>
      </c>
      <c r="D136" s="26" t="inlineStr">
        <is>
          <t>POST</t>
        </is>
      </c>
      <c r="E136" s="26" t="inlineStr">
        <is>
          <t>Story Displacement(X,Y,Combined) - Story Result Table</t>
        </is>
      </c>
      <c r="F136" s="26" t="n"/>
      <c r="G136" s="26" t="n"/>
      <c r="H136" s="26" t="inlineStr">
        <is>
          <t>POST</t>
        </is>
      </c>
      <c r="I136" s="26" t="inlineStr">
        <is>
          <t>TABLE</t>
        </is>
      </c>
      <c r="J136" s="26" t="n"/>
      <c r="K136" s="26" t="n"/>
      <c r="L136" s="26" t="inlineStr">
        <is>
          <t>/POST/TABLE</t>
        </is>
      </c>
      <c r="M136" s="26" t="inlineStr">
        <is>
          <t>STORY_DISPLACEMENT_X</t>
        </is>
      </c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inlineStr">
        <is>
          <t>POST</t>
        </is>
      </c>
      <c r="W136" s="26" t="n"/>
      <c r="X136" s="26" t="n"/>
    </row>
    <row r="137">
      <c r="A137" s="26" t="n"/>
      <c r="B137" s="26" t="n"/>
      <c r="C137" s="26" t="inlineStr">
        <is>
          <t>POST</t>
        </is>
      </c>
      <c r="D137" s="26" t="inlineStr">
        <is>
          <t>POST</t>
        </is>
      </c>
      <c r="E137" s="26" t="inlineStr">
        <is>
          <t>Story Shear Force(R.S.Analysis) - Story Result Table</t>
        </is>
      </c>
      <c r="F137" s="26" t="n"/>
      <c r="G137" s="26" t="n"/>
      <c r="H137" s="26" t="inlineStr">
        <is>
          <t>POST</t>
        </is>
      </c>
      <c r="I137" s="26" t="inlineStr">
        <is>
          <t>TABLE</t>
        </is>
      </c>
      <c r="J137" s="26" t="n"/>
      <c r="K137" s="26" t="n"/>
      <c r="L137" s="26" t="inlineStr">
        <is>
          <t>/POST/TABLE</t>
        </is>
      </c>
      <c r="M137" s="26" t="inlineStr">
        <is>
          <t>STORY_SHEAR_FOR_RS</t>
        </is>
      </c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inlineStr">
        <is>
          <t>POST</t>
        </is>
      </c>
      <c r="W137" s="26" t="n"/>
      <c r="X137" s="26" t="n"/>
    </row>
    <row r="138">
      <c r="A138" s="26" t="n"/>
      <c r="B138" s="26" t="n"/>
      <c r="C138" s="26" t="inlineStr">
        <is>
          <t>POST</t>
        </is>
      </c>
      <c r="D138" s="26" t="inlineStr">
        <is>
          <t>POST</t>
        </is>
      </c>
      <c r="E138" s="26" t="inlineStr">
        <is>
          <t>Story Shear Force Coefficient(R.S.Analysis) - Story Result Table</t>
        </is>
      </c>
      <c r="F138" s="26" t="n"/>
      <c r="G138" s="26" t="n"/>
      <c r="H138" s="26" t="inlineStr">
        <is>
          <t>POST</t>
        </is>
      </c>
      <c r="I138" s="26" t="inlineStr">
        <is>
          <t>TABLE</t>
        </is>
      </c>
      <c r="J138" s="26" t="n"/>
      <c r="K138" s="26" t="n"/>
      <c r="L138" s="26" t="inlineStr">
        <is>
          <t>/POST/TABLE</t>
        </is>
      </c>
      <c r="M138" s="26" t="inlineStr">
        <is>
          <t>STORY_SHEAR_FORCE_COEFFICIENT</t>
        </is>
      </c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inlineStr">
        <is>
          <t>POST</t>
        </is>
      </c>
      <c r="W138" s="26" t="n"/>
      <c r="X138" s="26" t="n"/>
    </row>
    <row r="139">
      <c r="A139" s="26" t="n"/>
      <c r="B139" s="26" t="n"/>
      <c r="C139" s="26" t="inlineStr">
        <is>
          <t>POST</t>
        </is>
      </c>
      <c r="D139" s="26" t="inlineStr">
        <is>
          <t>POST</t>
        </is>
      </c>
      <c r="E139" s="26" t="inlineStr">
        <is>
          <t>Story Mode Shape - Story Result Table</t>
        </is>
      </c>
      <c r="F139" s="26" t="n"/>
      <c r="G139" s="26" t="n"/>
      <c r="H139" s="26" t="inlineStr">
        <is>
          <t>POST</t>
        </is>
      </c>
      <c r="I139" s="26" t="inlineStr">
        <is>
          <t>TABLE</t>
        </is>
      </c>
      <c r="J139" s="26" t="n"/>
      <c r="K139" s="26" t="n"/>
      <c r="L139" s="26" t="inlineStr">
        <is>
          <t>/POST/TABLE</t>
        </is>
      </c>
      <c r="M139" s="26" t="inlineStr">
        <is>
          <t>STORY_MODE_SHAPE</t>
        </is>
      </c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inlineStr">
        <is>
          <t>POST</t>
        </is>
      </c>
      <c r="W139" s="26" t="n"/>
      <c r="X139" s="26" t="n"/>
    </row>
    <row r="140">
      <c r="A140" s="26" t="n"/>
      <c r="B140" s="26" t="n"/>
      <c r="C140" s="26" t="inlineStr">
        <is>
          <t>POST</t>
        </is>
      </c>
      <c r="D140" s="26" t="inlineStr">
        <is>
          <t>POST</t>
        </is>
      </c>
      <c r="E140" s="26" t="inlineStr">
        <is>
          <t>Story Shear Force Ratio - Story Result Table</t>
        </is>
      </c>
      <c r="F140" s="26" t="n"/>
      <c r="G140" s="26" t="n"/>
      <c r="H140" s="26" t="inlineStr">
        <is>
          <t>POST</t>
        </is>
      </c>
      <c r="I140" s="26" t="inlineStr">
        <is>
          <t>TABLE</t>
        </is>
      </c>
      <c r="J140" s="26" t="n"/>
      <c r="K140" s="26" t="n"/>
      <c r="L140" s="26" t="inlineStr">
        <is>
          <t>/POST/TABLE</t>
        </is>
      </c>
      <c r="M140" s="26" t="inlineStr">
        <is>
          <t>STORY_SHEAR_FORCE_RATIO</t>
        </is>
      </c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inlineStr">
        <is>
          <t>POST</t>
        </is>
      </c>
      <c r="W140" s="26" t="n"/>
      <c r="X140" s="26" t="n"/>
    </row>
    <row r="141">
      <c r="A141" s="26" t="n"/>
      <c r="B141" s="26" t="n"/>
      <c r="C141" s="26" t="inlineStr">
        <is>
          <t>POST</t>
        </is>
      </c>
      <c r="D141" s="26" t="inlineStr">
        <is>
          <t>POST</t>
        </is>
      </c>
      <c r="E141" s="26" t="inlineStr">
        <is>
          <t>Story Eccentricity - Story Result Table</t>
        </is>
      </c>
      <c r="F141" s="26" t="n"/>
      <c r="G141" s="26" t="n"/>
      <c r="H141" s="26" t="inlineStr">
        <is>
          <t>POST</t>
        </is>
      </c>
      <c r="I141" s="26" t="inlineStr">
        <is>
          <t>TABLE</t>
        </is>
      </c>
      <c r="J141" s="26" t="n"/>
      <c r="K141" s="26" t="n"/>
      <c r="L141" s="26" t="inlineStr">
        <is>
          <t>/POST/TABLE</t>
        </is>
      </c>
      <c r="M141" s="26" t="inlineStr">
        <is>
          <t>STORY_ECNTRICITY</t>
        </is>
      </c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inlineStr">
        <is>
          <t>POST</t>
        </is>
      </c>
      <c r="W141" s="26" t="n"/>
      <c r="X141" s="26" t="n"/>
    </row>
    <row r="142">
      <c r="A142" s="26" t="n"/>
      <c r="B142" s="26" t="n"/>
      <c r="C142" s="26" t="inlineStr">
        <is>
          <t>POST</t>
        </is>
      </c>
      <c r="D142" s="26" t="inlineStr">
        <is>
          <t>POST</t>
        </is>
      </c>
      <c r="E142" s="26" t="inlineStr">
        <is>
          <t>Overturning Moment - Story Result Table</t>
        </is>
      </c>
      <c r="F142" s="26" t="n"/>
      <c r="G142" s="26" t="n"/>
      <c r="H142" s="26" t="inlineStr">
        <is>
          <t>POST</t>
        </is>
      </c>
      <c r="I142" s="26" t="inlineStr">
        <is>
          <t>TABLE</t>
        </is>
      </c>
      <c r="J142" s="26" t="n"/>
      <c r="K142" s="26" t="n"/>
      <c r="L142" s="26" t="inlineStr">
        <is>
          <t>/POST/TABLE</t>
        </is>
      </c>
      <c r="M142" s="26" t="inlineStr">
        <is>
          <t>OVERTURNING_MOMENT</t>
        </is>
      </c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inlineStr">
        <is>
          <t>POST</t>
        </is>
      </c>
      <c r="W142" s="26" t="n"/>
      <c r="X142" s="26" t="n"/>
    </row>
    <row r="143">
      <c r="A143" s="26" t="n"/>
      <c r="B143" s="26" t="n"/>
      <c r="C143" s="26" t="inlineStr">
        <is>
          <t>POST</t>
        </is>
      </c>
      <c r="D143" s="26" t="inlineStr">
        <is>
          <t>POST</t>
        </is>
      </c>
      <c r="E143" s="26" t="inlineStr">
        <is>
          <t>Story Axial Force Sum - Story Result Table</t>
        </is>
      </c>
      <c r="F143" s="26" t="n"/>
      <c r="G143" s="26" t="n"/>
      <c r="H143" s="26" t="inlineStr">
        <is>
          <t>POST</t>
        </is>
      </c>
      <c r="I143" s="26" t="inlineStr">
        <is>
          <t>TABLE</t>
        </is>
      </c>
      <c r="J143" s="26" t="n"/>
      <c r="K143" s="26" t="n"/>
      <c r="L143" s="26" t="inlineStr">
        <is>
          <t>/POST/TABLE</t>
        </is>
      </c>
      <c r="M143" s="26" t="inlineStr">
        <is>
          <t>STORY_AXIAL_FORCE_SUM</t>
        </is>
      </c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inlineStr">
        <is>
          <t>POST</t>
        </is>
      </c>
      <c r="W143" s="26" t="n"/>
      <c r="X143" s="26" t="n"/>
    </row>
    <row r="144">
      <c r="A144" s="26" t="n"/>
      <c r="B144" s="26" t="n"/>
      <c r="C144" s="26" t="inlineStr">
        <is>
          <t>POST</t>
        </is>
      </c>
      <c r="D144" s="26" t="inlineStr">
        <is>
          <t>POST</t>
        </is>
      </c>
      <c r="E144" s="26" t="inlineStr">
        <is>
          <t>Story Stability Coefficient - Story Result Table</t>
        </is>
      </c>
      <c r="F144" s="26" t="n"/>
      <c r="G144" s="26" t="n"/>
      <c r="H144" s="26" t="inlineStr">
        <is>
          <t>POST</t>
        </is>
      </c>
      <c r="I144" s="26" t="inlineStr">
        <is>
          <t>TABLE</t>
        </is>
      </c>
      <c r="J144" s="26" t="n"/>
      <c r="K144" s="26" t="n"/>
      <c r="L144" s="26" t="inlineStr">
        <is>
          <t>/POST/TABLE</t>
        </is>
      </c>
      <c r="M144" s="26" t="inlineStr">
        <is>
          <t>STORY_STABILITY_COEFFICIENT_X</t>
        </is>
      </c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inlineStr">
        <is>
          <t>POST</t>
        </is>
      </c>
      <c r="W144" s="26" t="n"/>
      <c r="X144" s="26" t="n"/>
    </row>
    <row r="145">
      <c r="A145" s="26" t="n"/>
      <c r="B145" s="26" t="n"/>
      <c r="C145" s="26" t="inlineStr">
        <is>
          <t>POST</t>
        </is>
      </c>
      <c r="D145" s="26" t="inlineStr">
        <is>
          <t>POST</t>
        </is>
      </c>
      <c r="E145" s="26" t="inlineStr">
        <is>
          <t>Torsional Irregularity Check - Story Result Table</t>
        </is>
      </c>
      <c r="F145" s="26" t="n"/>
      <c r="G145" s="26" t="n"/>
      <c r="H145" s="26" t="inlineStr">
        <is>
          <t>POST</t>
        </is>
      </c>
      <c r="I145" s="26" t="inlineStr">
        <is>
          <t>TABLE</t>
        </is>
      </c>
      <c r="J145" s="26" t="n"/>
      <c r="K145" s="26" t="n"/>
      <c r="L145" s="26" t="inlineStr">
        <is>
          <t>/POST/TABLE</t>
        </is>
      </c>
      <c r="M145" s="26" t="inlineStr">
        <is>
          <t>TORSIONAL_IRRGULARITY_X</t>
        </is>
      </c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inlineStr">
        <is>
          <t>POST</t>
        </is>
      </c>
      <c r="W145" s="26" t="n"/>
      <c r="X145" s="26" t="n"/>
    </row>
    <row r="146">
      <c r="A146" s="26" t="n"/>
      <c r="B146" s="26" t="n"/>
      <c r="C146" s="26" t="inlineStr">
        <is>
          <t>POST</t>
        </is>
      </c>
      <c r="D146" s="26" t="inlineStr">
        <is>
          <t>POST</t>
        </is>
      </c>
      <c r="E146" s="26" t="inlineStr">
        <is>
          <t>Torsional Amplification Factor - Story Result Table</t>
        </is>
      </c>
      <c r="F146" s="26" t="n"/>
      <c r="G146" s="26" t="n"/>
      <c r="H146" s="26" t="inlineStr">
        <is>
          <t>POST</t>
        </is>
      </c>
      <c r="I146" s="26" t="inlineStr">
        <is>
          <t>TABLE</t>
        </is>
      </c>
      <c r="J146" s="26" t="n"/>
      <c r="K146" s="26" t="n"/>
      <c r="L146" s="26" t="inlineStr">
        <is>
          <t>/POST/TABLE</t>
        </is>
      </c>
      <c r="M146" s="26" t="inlineStr">
        <is>
          <t>TORSIONAL_AMPLIFICATION_FACTOR_X</t>
        </is>
      </c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inlineStr">
        <is>
          <t>POST</t>
        </is>
      </c>
      <c r="W146" s="26" t="n"/>
      <c r="X146" s="26" t="n"/>
    </row>
    <row r="147">
      <c r="A147" s="26" t="n"/>
      <c r="B147" s="26" t="n"/>
      <c r="C147" s="26" t="inlineStr">
        <is>
          <t>POST</t>
        </is>
      </c>
      <c r="D147" s="26" t="inlineStr">
        <is>
          <t>POST</t>
        </is>
      </c>
      <c r="E147" s="26" t="inlineStr">
        <is>
          <t>Stiffness Irregularity Check (Soft Story) - Story Result Table</t>
        </is>
      </c>
      <c r="F147" s="26" t="n"/>
      <c r="G147" s="26" t="n"/>
      <c r="H147" s="26" t="inlineStr">
        <is>
          <t>POST</t>
        </is>
      </c>
      <c r="I147" s="26" t="inlineStr">
        <is>
          <t>TABLE</t>
        </is>
      </c>
      <c r="J147" s="26" t="n"/>
      <c r="K147" s="26" t="n"/>
      <c r="L147" s="26" t="inlineStr">
        <is>
          <t>/POST/TABLE</t>
        </is>
      </c>
      <c r="M147" s="26" t="inlineStr">
        <is>
          <t>STIFFNESS_IRREGULARITY_X</t>
        </is>
      </c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inlineStr">
        <is>
          <t>POST</t>
        </is>
      </c>
      <c r="W147" s="26" t="n"/>
      <c r="X147" s="26" t="n"/>
    </row>
    <row r="148">
      <c r="A148" s="26" t="n"/>
      <c r="B148" s="26" t="n"/>
      <c r="C148" s="26" t="inlineStr">
        <is>
          <t>POST</t>
        </is>
      </c>
      <c r="D148" s="26" t="inlineStr">
        <is>
          <t>POST</t>
        </is>
      </c>
      <c r="E148" s="26" t="inlineStr">
        <is>
          <t>Capacity Irregularity Check(Weak Story) - Story Result Table</t>
        </is>
      </c>
      <c r="F148" s="26" t="n"/>
      <c r="G148" s="26" t="n"/>
      <c r="H148" s="26" t="inlineStr">
        <is>
          <t>POST</t>
        </is>
      </c>
      <c r="I148" s="26" t="inlineStr">
        <is>
          <t>TABLE</t>
        </is>
      </c>
      <c r="J148" s="26" t="n"/>
      <c r="K148" s="26" t="n"/>
      <c r="L148" s="26" t="inlineStr">
        <is>
          <t>/POST/TABLE</t>
        </is>
      </c>
      <c r="M148" s="26" t="inlineStr">
        <is>
          <t>CAPACITY_IRREGULARITY</t>
        </is>
      </c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inlineStr">
        <is>
          <t>POST</t>
        </is>
      </c>
      <c r="W148" s="26" t="n"/>
      <c r="X148" s="26" t="n"/>
    </row>
    <row r="149">
      <c r="A149" s="26" t="n"/>
      <c r="B149" s="26" t="n"/>
      <c r="C149" s="26" t="inlineStr">
        <is>
          <t>POST</t>
        </is>
      </c>
      <c r="D149" s="26" t="inlineStr">
        <is>
          <t>POST</t>
        </is>
      </c>
      <c r="E149" s="26" t="inlineStr">
        <is>
          <t>Criteria for Regularity in Plan - Story Result Table</t>
        </is>
      </c>
      <c r="F149" s="26" t="n"/>
      <c r="G149" s="26" t="n"/>
      <c r="H149" s="26" t="inlineStr">
        <is>
          <t>POST</t>
        </is>
      </c>
      <c r="I149" s="26" t="inlineStr">
        <is>
          <t>TABLE</t>
        </is>
      </c>
      <c r="J149" s="26" t="n"/>
      <c r="K149" s="26" t="n"/>
      <c r="L149" s="26" t="inlineStr">
        <is>
          <t>/POST/TABLE</t>
        </is>
      </c>
      <c r="M149" s="26" t="inlineStr">
        <is>
          <t>CRITERIA_FOR_REGULARITY_IN_PLAN</t>
        </is>
      </c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inlineStr">
        <is>
          <t>POST</t>
        </is>
      </c>
      <c r="W149" s="26" t="n"/>
      <c r="X149" s="26" t="n"/>
    </row>
    <row r="150">
      <c r="A150" s="26" t="n"/>
      <c r="B150" s="26" t="n"/>
      <c r="C150" s="26" t="inlineStr">
        <is>
          <t>POST</t>
        </is>
      </c>
      <c r="D150" s="26" t="inlineStr">
        <is>
          <t>POST</t>
        </is>
      </c>
      <c r="E150" s="26" t="inlineStr">
        <is>
          <t>Ultimate Story Shear For Check - Story Result Table</t>
        </is>
      </c>
      <c r="F150" s="26" t="n"/>
      <c r="G150" s="26" t="n"/>
      <c r="H150" s="26" t="inlineStr">
        <is>
          <t>POST</t>
        </is>
      </c>
      <c r="I150" s="26" t="inlineStr">
        <is>
          <t>TABLE</t>
        </is>
      </c>
      <c r="J150" s="26" t="n"/>
      <c r="K150" s="26" t="n"/>
      <c r="L150" s="26" t="inlineStr">
        <is>
          <t>/POST/TABLE</t>
        </is>
      </c>
      <c r="M150" s="26" t="inlineStr">
        <is>
          <t>ULTIMATE_STORY_SHEAR_FORCE_CHECK</t>
        </is>
      </c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inlineStr">
        <is>
          <t>POST</t>
        </is>
      </c>
      <c r="W150" s="26" t="n"/>
      <c r="X150" s="26" t="n"/>
    </row>
    <row r="151">
      <c r="A151" s="26" t="n"/>
      <c r="B151" s="26" t="n"/>
      <c r="C151" s="26" t="inlineStr">
        <is>
          <t>POST</t>
        </is>
      </c>
      <c r="D151" s="26" t="inlineStr">
        <is>
          <t>POST</t>
        </is>
      </c>
      <c r="E151" s="26" t="inlineStr">
        <is>
          <t>Displacement/Velocity/Acceleration - TH Result Table</t>
        </is>
      </c>
      <c r="F151" s="26" t="n"/>
      <c r="G151" s="26" t="n"/>
      <c r="H151" s="26" t="inlineStr">
        <is>
          <t>POST</t>
        </is>
      </c>
      <c r="I151" s="26" t="inlineStr">
        <is>
          <t>TABLE</t>
        </is>
      </c>
      <c r="J151" s="26" t="n"/>
      <c r="K151" s="26" t="n"/>
      <c r="L151" s="26" t="inlineStr">
        <is>
          <t>/POST/TABLE</t>
        </is>
      </c>
      <c r="M151" s="26" t="inlineStr">
        <is>
          <t>THISDISPLACEMENT</t>
        </is>
      </c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inlineStr">
        <is>
          <t>POST</t>
        </is>
      </c>
      <c r="W151" s="26" t="n"/>
      <c r="X151" s="26" t="n"/>
    </row>
    <row r="152">
      <c r="A152" s="26" t="n"/>
      <c r="B152" s="26" t="n"/>
      <c r="C152" s="26" t="inlineStr">
        <is>
          <t>POST</t>
        </is>
      </c>
      <c r="D152" s="26" t="inlineStr">
        <is>
          <t>POST</t>
        </is>
      </c>
      <c r="E152" s="26" t="inlineStr">
        <is>
          <t>Beam Force - TH Result Table</t>
        </is>
      </c>
      <c r="F152" s="26" t="n"/>
      <c r="G152" s="26" t="n"/>
      <c r="H152" s="26" t="inlineStr">
        <is>
          <t>POST</t>
        </is>
      </c>
      <c r="I152" s="26" t="inlineStr">
        <is>
          <t>TABLE</t>
        </is>
      </c>
      <c r="J152" s="26" t="n"/>
      <c r="K152" s="26" t="n"/>
      <c r="L152" s="26" t="inlineStr">
        <is>
          <t>/POST/TABLE</t>
        </is>
      </c>
      <c r="M152" s="26" t="inlineStr">
        <is>
          <t>THISBEAMFORCE</t>
        </is>
      </c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inlineStr">
        <is>
          <t>POST</t>
        </is>
      </c>
      <c r="W152" s="26" t="n"/>
      <c r="X152" s="26" t="n"/>
    </row>
    <row r="153">
      <c r="A153" s="26" t="n"/>
      <c r="B153" s="26" t="n"/>
      <c r="C153" s="26" t="inlineStr">
        <is>
          <t>POST</t>
        </is>
      </c>
      <c r="D153" s="26" t="inlineStr">
        <is>
          <t>POST</t>
        </is>
      </c>
      <c r="E153" s="26" t="inlineStr">
        <is>
          <t>Truss Force - TH Result Table</t>
        </is>
      </c>
      <c r="F153" s="26" t="n"/>
      <c r="G153" s="26" t="n"/>
      <c r="H153" s="26" t="inlineStr">
        <is>
          <t>POST</t>
        </is>
      </c>
      <c r="I153" s="26" t="inlineStr">
        <is>
          <t>TABLE</t>
        </is>
      </c>
      <c r="J153" s="26" t="n"/>
      <c r="K153" s="26" t="n"/>
      <c r="L153" s="26" t="inlineStr">
        <is>
          <t>/POST/TABLE</t>
        </is>
      </c>
      <c r="M153" s="26" t="inlineStr">
        <is>
          <t>THISTRUSSFORCE</t>
        </is>
      </c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inlineStr">
        <is>
          <t>POST</t>
        </is>
      </c>
      <c r="W153" s="26" t="n"/>
      <c r="X153" s="26" t="n"/>
    </row>
    <row r="154">
      <c r="A154" s="26" t="n"/>
      <c r="B154" s="26" t="n"/>
      <c r="C154" s="26" t="inlineStr">
        <is>
          <t>POST</t>
        </is>
      </c>
      <c r="D154" s="26" t="inlineStr">
        <is>
          <t>POST</t>
        </is>
      </c>
      <c r="E154" s="26" t="inlineStr">
        <is>
          <t>General Link - TH Result Table</t>
        </is>
      </c>
      <c r="F154" s="26" t="n"/>
      <c r="G154" s="26" t="n"/>
      <c r="H154" s="26" t="inlineStr">
        <is>
          <t>POST</t>
        </is>
      </c>
      <c r="I154" s="26" t="inlineStr">
        <is>
          <t>TABLE</t>
        </is>
      </c>
      <c r="J154" s="26" t="n"/>
      <c r="K154" s="26" t="n"/>
      <c r="L154" s="26" t="inlineStr">
        <is>
          <t>/POST/TABLE</t>
        </is>
      </c>
      <c r="M154" s="26" t="inlineStr">
        <is>
          <t>THISGLINKFORCE</t>
        </is>
      </c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inlineStr">
        <is>
          <t>POST</t>
        </is>
      </c>
      <c r="W154" s="26" t="n"/>
      <c r="X154" s="26" t="n"/>
    </row>
    <row r="155">
      <c r="A155" s="26" t="n"/>
      <c r="B155" s="26" t="n"/>
      <c r="C155" s="26" t="inlineStr">
        <is>
          <t>POST</t>
        </is>
      </c>
      <c r="D155" s="26" t="inlineStr">
        <is>
          <t>POST</t>
        </is>
      </c>
      <c r="E155" s="26" t="inlineStr">
        <is>
          <t>Inelastic Hinge Event Time - TH Result Table</t>
        </is>
      </c>
      <c r="F155" s="26" t="n"/>
      <c r="G155" s="26" t="n"/>
      <c r="H155" s="26" t="inlineStr">
        <is>
          <t>POST</t>
        </is>
      </c>
      <c r="I155" s="26" t="inlineStr">
        <is>
          <t>TABLE</t>
        </is>
      </c>
      <c r="J155" s="26" t="n"/>
      <c r="K155" s="26" t="n"/>
      <c r="L155" s="26" t="inlineStr">
        <is>
          <t>/POST/TABLE</t>
        </is>
      </c>
      <c r="M155" s="26" t="inlineStr">
        <is>
          <t>IEHG_EVENT_TIME_LUMPED</t>
        </is>
      </c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inlineStr">
        <is>
          <t>POST</t>
        </is>
      </c>
      <c r="W155" s="26" t="n"/>
      <c r="X155" s="26" t="n"/>
    </row>
    <row r="156">
      <c r="A156" s="26" t="n"/>
      <c r="B156" s="26" t="n"/>
      <c r="C156" s="26" t="inlineStr">
        <is>
          <t>POST</t>
        </is>
      </c>
      <c r="D156" s="26" t="inlineStr">
        <is>
          <t>POST</t>
        </is>
      </c>
      <c r="E156" s="26" t="inlineStr">
        <is>
          <t>Inelastic Hinge Beam Summary - TH Result Table</t>
        </is>
      </c>
      <c r="F156" s="26" t="n"/>
      <c r="G156" s="26" t="n"/>
      <c r="H156" s="26" t="inlineStr">
        <is>
          <t>POST</t>
        </is>
      </c>
      <c r="I156" s="26" t="inlineStr">
        <is>
          <t>TABLE</t>
        </is>
      </c>
      <c r="J156" s="26" t="n"/>
      <c r="K156" s="26" t="n"/>
      <c r="L156" s="26" t="inlineStr">
        <is>
          <t>/POST/TABLE</t>
        </is>
      </c>
      <c r="M156" s="26" t="inlineStr">
        <is>
          <t>IEHG_BEAM_SUM_DX</t>
        </is>
      </c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inlineStr">
        <is>
          <t>POST</t>
        </is>
      </c>
      <c r="W156" s="26" t="n"/>
      <c r="X156" s="26" t="n"/>
    </row>
    <row r="157">
      <c r="A157" s="26" t="n"/>
      <c r="B157" s="26" t="n"/>
      <c r="C157" s="26" t="inlineStr">
        <is>
          <t>POST</t>
        </is>
      </c>
      <c r="D157" s="26" t="inlineStr">
        <is>
          <t>POST</t>
        </is>
      </c>
      <c r="E157" s="26" t="inlineStr">
        <is>
          <t>Inelastic Hinge Truss Summary - TH Result Table</t>
        </is>
      </c>
      <c r="F157" s="26" t="n"/>
      <c r="G157" s="26" t="n"/>
      <c r="H157" s="26" t="inlineStr">
        <is>
          <t>POST</t>
        </is>
      </c>
      <c r="I157" s="26" t="inlineStr">
        <is>
          <t>TABLE</t>
        </is>
      </c>
      <c r="J157" s="26" t="n"/>
      <c r="K157" s="26" t="n"/>
      <c r="L157" s="26" t="inlineStr">
        <is>
          <t>/POST/TABLE</t>
        </is>
      </c>
      <c r="M157" s="26" t="inlineStr">
        <is>
          <t>IEHG_TRUSS_SUM_DX</t>
        </is>
      </c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inlineStr">
        <is>
          <t>POST</t>
        </is>
      </c>
      <c r="W157" s="26" t="n"/>
      <c r="X157" s="26" t="n"/>
    </row>
    <row r="158">
      <c r="A158" s="26" t="n"/>
      <c r="B158" s="26" t="n"/>
      <c r="C158" s="26" t="inlineStr">
        <is>
          <t>POST</t>
        </is>
      </c>
      <c r="D158" s="26" t="inlineStr">
        <is>
          <t>POST</t>
        </is>
      </c>
      <c r="E158" s="26" t="inlineStr">
        <is>
          <t>Inelastic Hinge General Link Summary - TH Result Table</t>
        </is>
      </c>
      <c r="F158" s="26" t="n"/>
      <c r="G158" s="26" t="n"/>
      <c r="H158" s="26" t="inlineStr">
        <is>
          <t>POST</t>
        </is>
      </c>
      <c r="I158" s="26" t="inlineStr">
        <is>
          <t>TABLE</t>
        </is>
      </c>
      <c r="J158" s="26" t="n"/>
      <c r="K158" s="26" t="n"/>
      <c r="L158" s="26" t="inlineStr">
        <is>
          <t>/POST/TABLE</t>
        </is>
      </c>
      <c r="M158" s="26" t="inlineStr">
        <is>
          <t>IEHG_GL_LINK_SUM_DX</t>
        </is>
      </c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inlineStr">
        <is>
          <t>POST</t>
        </is>
      </c>
      <c r="W158" s="26" t="n"/>
      <c r="X158" s="26" t="n"/>
    </row>
    <row r="159">
      <c r="A159" s="26" t="n"/>
      <c r="B159" s="26" t="n"/>
      <c r="C159" s="26" t="inlineStr">
        <is>
          <t>POST</t>
        </is>
      </c>
      <c r="D159" s="26" t="inlineStr">
        <is>
          <t>POST</t>
        </is>
      </c>
      <c r="E159" s="26" t="inlineStr">
        <is>
          <t>Inelastic Hinge Force - TH Result Table</t>
        </is>
      </c>
      <c r="F159" s="26" t="n"/>
      <c r="G159" s="26" t="n"/>
      <c r="H159" s="26" t="inlineStr">
        <is>
          <t>POST</t>
        </is>
      </c>
      <c r="I159" s="26" t="inlineStr">
        <is>
          <t>TABLE</t>
        </is>
      </c>
      <c r="J159" s="26" t="n"/>
      <c r="K159" s="26" t="n"/>
      <c r="L159" s="26" t="inlineStr">
        <is>
          <t>/POST/TABLE</t>
        </is>
      </c>
      <c r="M159" s="26" t="inlineStr">
        <is>
          <t>IEHG_FORCE_LUMPED</t>
        </is>
      </c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inlineStr">
        <is>
          <t>POST</t>
        </is>
      </c>
      <c r="W159" s="26" t="n"/>
      <c r="X159" s="26" t="n"/>
    </row>
    <row r="160">
      <c r="A160" s="26" t="n"/>
      <c r="B160" s="26" t="n"/>
      <c r="C160" s="26" t="inlineStr">
        <is>
          <t>POST</t>
        </is>
      </c>
      <c r="D160" s="26" t="inlineStr">
        <is>
          <t>POST</t>
        </is>
      </c>
      <c r="E160" s="26" t="inlineStr">
        <is>
          <t>Inelastic Hinge Deformation - TH Result Table</t>
        </is>
      </c>
      <c r="F160" s="26" t="n"/>
      <c r="G160" s="26" t="n"/>
      <c r="H160" s="26" t="inlineStr">
        <is>
          <t>POST</t>
        </is>
      </c>
      <c r="I160" s="26" t="inlineStr">
        <is>
          <t>TABLE</t>
        </is>
      </c>
      <c r="J160" s="26" t="n"/>
      <c r="K160" s="26" t="n"/>
      <c r="L160" s="26" t="inlineStr">
        <is>
          <t>/POST/TABLE</t>
        </is>
      </c>
      <c r="M160" s="26" t="inlineStr">
        <is>
          <t>IEHG_DEFORM_LUMPED</t>
        </is>
      </c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inlineStr">
        <is>
          <t>POST</t>
        </is>
      </c>
      <c r="W160" s="26" t="n"/>
      <c r="X160" s="26" t="n"/>
    </row>
    <row r="161">
      <c r="A161" s="26" t="n"/>
      <c r="B161" s="26" t="n"/>
      <c r="C161" s="26" t="inlineStr">
        <is>
          <t>POST</t>
        </is>
      </c>
      <c r="D161" s="26" t="inlineStr">
        <is>
          <t>POST</t>
        </is>
      </c>
      <c r="E161" s="26" t="inlineStr">
        <is>
          <t>Inelastic Hinge Element Rotation - TH Result Table</t>
        </is>
      </c>
      <c r="F161" s="26" t="n"/>
      <c r="G161" s="26" t="n"/>
      <c r="H161" s="26" t="inlineStr">
        <is>
          <t>POST</t>
        </is>
      </c>
      <c r="I161" s="26" t="inlineStr">
        <is>
          <t>TABLE</t>
        </is>
      </c>
      <c r="J161" s="26" t="n"/>
      <c r="K161" s="26" t="n"/>
      <c r="L161" s="26" t="inlineStr">
        <is>
          <t>/POST/TABLE</t>
        </is>
      </c>
      <c r="M161" s="26" t="inlineStr">
        <is>
          <t>IEHG_ELEM_ROT_BEAM</t>
        </is>
      </c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inlineStr">
        <is>
          <t>POST</t>
        </is>
      </c>
      <c r="W161" s="26" t="n"/>
      <c r="X161" s="26" t="n"/>
    </row>
    <row r="162">
      <c r="A162" s="26" t="n"/>
      <c r="B162" s="26" t="n"/>
      <c r="C162" s="26" t="inlineStr">
        <is>
          <t>POST</t>
        </is>
      </c>
      <c r="D162" s="26" t="inlineStr">
        <is>
          <t>POST</t>
        </is>
      </c>
      <c r="E162" s="26" t="inlineStr">
        <is>
          <t>Inelastic Hinge Ductility Factor(D/D1) - TH Result Table</t>
        </is>
      </c>
      <c r="F162" s="26" t="n"/>
      <c r="G162" s="26" t="n"/>
      <c r="H162" s="26" t="inlineStr">
        <is>
          <t>POST</t>
        </is>
      </c>
      <c r="I162" s="26" t="inlineStr">
        <is>
          <t>TABLE</t>
        </is>
      </c>
      <c r="J162" s="26" t="n"/>
      <c r="K162" s="26" t="n"/>
      <c r="L162" s="26" t="inlineStr">
        <is>
          <t>/POST/TABLE</t>
        </is>
      </c>
      <c r="M162" s="26" t="inlineStr">
        <is>
          <t>IEHG_DUCT_D1_LUMPED</t>
        </is>
      </c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inlineStr">
        <is>
          <t>POST</t>
        </is>
      </c>
      <c r="W162" s="26" t="n"/>
      <c r="X162" s="26" t="n"/>
    </row>
    <row r="163">
      <c r="A163" s="26" t="n"/>
      <c r="B163" s="26" t="n"/>
      <c r="C163" s="26" t="inlineStr">
        <is>
          <t>POST</t>
        </is>
      </c>
      <c r="D163" s="26" t="inlineStr">
        <is>
          <t>POST</t>
        </is>
      </c>
      <c r="E163" s="26" t="inlineStr">
        <is>
          <t>Inelastic Hinge Ductility Factor(D/D2) - TH Result Table</t>
        </is>
      </c>
      <c r="F163" s="26" t="n"/>
      <c r="G163" s="26" t="n"/>
      <c r="H163" s="26" t="inlineStr">
        <is>
          <t>POST</t>
        </is>
      </c>
      <c r="I163" s="26" t="inlineStr">
        <is>
          <t>TABLE</t>
        </is>
      </c>
      <c r="J163" s="26" t="n"/>
      <c r="K163" s="26" t="n"/>
      <c r="L163" s="26" t="inlineStr">
        <is>
          <t>/POST/TABLE</t>
        </is>
      </c>
      <c r="M163" s="26" t="inlineStr">
        <is>
          <t>IEHG_DUCT_D2_LUMPED</t>
        </is>
      </c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inlineStr">
        <is>
          <t>POST</t>
        </is>
      </c>
      <c r="W163" s="26" t="n"/>
      <c r="X163" s="26" t="n"/>
    </row>
    <row r="164">
      <c r="A164" s="26" t="n"/>
      <c r="B164" s="26" t="n"/>
      <c r="C164" s="26" t="inlineStr">
        <is>
          <t>POST</t>
        </is>
      </c>
      <c r="D164" s="26" t="inlineStr">
        <is>
          <t>POST</t>
        </is>
      </c>
      <c r="E164" s="26" t="inlineStr">
        <is>
          <t>Fiber Section Estimate Yield Strength - TH Result Table</t>
        </is>
      </c>
      <c r="F164" s="26" t="n"/>
      <c r="G164" s="26" t="n"/>
      <c r="H164" s="26" t="inlineStr">
        <is>
          <t>POST</t>
        </is>
      </c>
      <c r="I164" s="26" t="inlineStr">
        <is>
          <t>TABLE</t>
        </is>
      </c>
      <c r="J164" s="26" t="n"/>
      <c r="K164" s="26" t="n"/>
      <c r="L164" s="26" t="inlineStr">
        <is>
          <t>/POST/TABLE</t>
        </is>
      </c>
      <c r="M164" s="26" t="inlineStr">
        <is>
          <t>FIBR_YILEDSTRENGTH</t>
        </is>
      </c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inlineStr">
        <is>
          <t>POST</t>
        </is>
      </c>
      <c r="W164" s="26" t="n"/>
      <c r="X164" s="26" t="n"/>
    </row>
    <row r="165">
      <c r="A165" s="26" t="n"/>
      <c r="B165" s="26" t="n"/>
      <c r="C165" s="26" t="inlineStr">
        <is>
          <t>POST</t>
        </is>
      </c>
      <c r="D165" s="26" t="inlineStr">
        <is>
          <t>POST</t>
        </is>
      </c>
      <c r="E165" s="26" t="inlineStr">
        <is>
          <t>Fiber Section Elastic Modulus Retention Rate - TH Result Table</t>
        </is>
      </c>
      <c r="F165" s="26" t="n"/>
      <c r="G165" s="26" t="n"/>
      <c r="H165" s="26" t="inlineStr">
        <is>
          <t>POST</t>
        </is>
      </c>
      <c r="I165" s="26" t="inlineStr">
        <is>
          <t>TABLE</t>
        </is>
      </c>
      <c r="J165" s="26" t="n"/>
      <c r="K165" s="26" t="n"/>
      <c r="L165" s="26" t="inlineStr">
        <is>
          <t>/POST/TABLE</t>
        </is>
      </c>
      <c r="M165" s="26" t="inlineStr">
        <is>
          <t>FIBR_ELASTREMAIN</t>
        </is>
      </c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inlineStr">
        <is>
          <t>POST</t>
        </is>
      </c>
      <c r="W165" s="26" t="n"/>
      <c r="X165" s="26" t="n"/>
    </row>
    <row r="166">
      <c r="A166" s="26" t="n"/>
      <c r="B166" s="26" t="n"/>
      <c r="C166" s="26" t="inlineStr">
        <is>
          <t>POST</t>
        </is>
      </c>
      <c r="D166" s="26" t="inlineStr">
        <is>
          <t>POST</t>
        </is>
      </c>
      <c r="E166" s="26" t="inlineStr">
        <is>
          <t>Fiber Section Maximum Strain of The Cell - TH Result Table</t>
        </is>
      </c>
      <c r="F166" s="26" t="n"/>
      <c r="G166" s="26" t="n"/>
      <c r="H166" s="26" t="inlineStr">
        <is>
          <t>POST</t>
        </is>
      </c>
      <c r="I166" s="26" t="inlineStr">
        <is>
          <t>TABLE</t>
        </is>
      </c>
      <c r="J166" s="26" t="n"/>
      <c r="K166" s="26" t="n"/>
      <c r="L166" s="26" t="inlineStr">
        <is>
          <t>/POST/TABLE</t>
        </is>
      </c>
      <c r="M166" s="26" t="inlineStr">
        <is>
          <t>FIBR_MAXCONTRACT</t>
        </is>
      </c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inlineStr">
        <is>
          <t>POST</t>
        </is>
      </c>
      <c r="W166" s="26" t="n"/>
      <c r="X166" s="26" t="n"/>
    </row>
    <row r="167">
      <c r="A167" s="26" t="n"/>
      <c r="B167" s="26" t="n"/>
      <c r="C167" s="26" t="inlineStr">
        <is>
          <t>POST</t>
        </is>
      </c>
      <c r="D167" s="26" t="inlineStr">
        <is>
          <t>POST</t>
        </is>
      </c>
      <c r="E167" s="26" t="inlineStr">
        <is>
          <t>Fiber Section Event Step - TH Result Table</t>
        </is>
      </c>
      <c r="F167" s="26" t="n"/>
      <c r="G167" s="26" t="n"/>
      <c r="H167" s="26" t="inlineStr">
        <is>
          <t>POST</t>
        </is>
      </c>
      <c r="I167" s="26" t="inlineStr">
        <is>
          <t>TABLE</t>
        </is>
      </c>
      <c r="J167" s="26" t="n"/>
      <c r="K167" s="26" t="n"/>
      <c r="L167" s="26" t="inlineStr">
        <is>
          <t>/POST/TABLE</t>
        </is>
      </c>
      <c r="M167" s="26" t="inlineStr">
        <is>
          <t>FIBR_EVENTSTEP</t>
        </is>
      </c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inlineStr">
        <is>
          <t>POST</t>
        </is>
      </c>
      <c r="W167" s="26" t="n"/>
      <c r="X167" s="26" t="n"/>
    </row>
    <row r="168">
      <c r="A168" s="26" t="n"/>
      <c r="B168" s="26" t="n"/>
      <c r="C168" s="26" t="inlineStr">
        <is>
          <t>POST</t>
        </is>
      </c>
      <c r="D168" s="26" t="inlineStr">
        <is>
          <t>POST</t>
        </is>
      </c>
      <c r="E168" s="26" t="inlineStr">
        <is>
          <t>Fiber Section Average Compression Strain - TH Result Table</t>
        </is>
      </c>
      <c r="F168" s="26" t="n"/>
      <c r="G168" s="26" t="n"/>
      <c r="H168" s="26" t="inlineStr">
        <is>
          <t>POST</t>
        </is>
      </c>
      <c r="I168" s="26" t="inlineStr">
        <is>
          <t>TABLE</t>
        </is>
      </c>
      <c r="J168" s="26" t="n"/>
      <c r="K168" s="26" t="n"/>
      <c r="L168" s="26" t="inlineStr">
        <is>
          <t>/POST/TABLE</t>
        </is>
      </c>
      <c r="M168" s="26" t="inlineStr">
        <is>
          <t>FIBR_MEANCOMPCONTRACT</t>
        </is>
      </c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inlineStr">
        <is>
          <t>POST</t>
        </is>
      </c>
      <c r="W168" s="26" t="n"/>
      <c r="X168" s="26" t="n"/>
    </row>
    <row r="169">
      <c r="A169" s="26" t="n"/>
      <c r="B169" s="26" t="n"/>
      <c r="C169" s="26" t="inlineStr">
        <is>
          <t>POST</t>
        </is>
      </c>
      <c r="D169" s="26" t="inlineStr">
        <is>
          <t>POST</t>
        </is>
      </c>
      <c r="E169" s="26" t="inlineStr">
        <is>
          <t>Stress - HY Result Table</t>
        </is>
      </c>
      <c r="F169" s="26" t="n"/>
      <c r="G169" s="26" t="n"/>
      <c r="H169" s="26" t="inlineStr">
        <is>
          <t>POST</t>
        </is>
      </c>
      <c r="I169" s="26" t="inlineStr">
        <is>
          <t>TABLE</t>
        </is>
      </c>
      <c r="J169" s="26" t="n"/>
      <c r="K169" s="26" t="n"/>
      <c r="L169" s="26" t="inlineStr">
        <is>
          <t>/POST/TABLE</t>
        </is>
      </c>
      <c r="M169" s="26" t="inlineStr">
        <is>
          <t>HEAT_HYDR_STRESS_L</t>
        </is>
      </c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inlineStr">
        <is>
          <t>POST</t>
        </is>
      </c>
      <c r="W169" s="26" t="n"/>
      <c r="X169" s="26" t="n"/>
    </row>
    <row r="170">
      <c r="A170" s="26" t="n"/>
      <c r="B170" s="26" t="n"/>
      <c r="C170" s="26" t="inlineStr">
        <is>
          <t>POST</t>
        </is>
      </c>
      <c r="D170" s="26" t="inlineStr">
        <is>
          <t>POST</t>
        </is>
      </c>
      <c r="E170" s="26" t="inlineStr">
        <is>
          <t>Temperature - HY Result Table</t>
        </is>
      </c>
      <c r="F170" s="26" t="n"/>
      <c r="G170" s="26" t="n"/>
      <c r="H170" s="26" t="inlineStr">
        <is>
          <t>POST</t>
        </is>
      </c>
      <c r="I170" s="26" t="inlineStr">
        <is>
          <t>TABLE</t>
        </is>
      </c>
      <c r="J170" s="26" t="n"/>
      <c r="K170" s="26" t="n"/>
      <c r="L170" s="26" t="inlineStr">
        <is>
          <t>/POST/TABLE</t>
        </is>
      </c>
      <c r="M170" s="26" t="inlineStr">
        <is>
          <t>HEAT_HYDR_TEMPERATURE</t>
        </is>
      </c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inlineStr">
        <is>
          <t>POST</t>
        </is>
      </c>
      <c r="W170" s="26" t="n"/>
      <c r="X170" s="26" t="n"/>
    </row>
    <row r="171">
      <c r="A171" s="26" t="n"/>
      <c r="B171" s="26" t="n"/>
      <c r="C171" s="26" t="inlineStr">
        <is>
          <t>POST</t>
        </is>
      </c>
      <c r="D171" s="26" t="inlineStr">
        <is>
          <t>POST</t>
        </is>
      </c>
      <c r="E171" s="26" t="inlineStr">
        <is>
          <t>Displacement - HY Result Table</t>
        </is>
      </c>
      <c r="F171" s="26" t="n"/>
      <c r="G171" s="26" t="n"/>
      <c r="H171" s="26" t="inlineStr">
        <is>
          <t>POST</t>
        </is>
      </c>
      <c r="I171" s="26" t="inlineStr">
        <is>
          <t>TABLE</t>
        </is>
      </c>
      <c r="J171" s="26" t="n"/>
      <c r="K171" s="26" t="n"/>
      <c r="L171" s="26" t="inlineStr">
        <is>
          <t>/POST/TABLE</t>
        </is>
      </c>
      <c r="M171" s="26" t="inlineStr">
        <is>
          <t>HEAT_HYDR_DISPLACEMENT</t>
        </is>
      </c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inlineStr">
        <is>
          <t>POST</t>
        </is>
      </c>
      <c r="W171" s="26" t="n"/>
      <c r="X171" s="26" t="n"/>
    </row>
    <row r="172">
      <c r="A172" s="26" t="n"/>
      <c r="B172" s="26" t="n"/>
      <c r="C172" s="26" t="inlineStr">
        <is>
          <t>POST</t>
        </is>
      </c>
      <c r="D172" s="26" t="inlineStr">
        <is>
          <t>POST</t>
        </is>
      </c>
      <c r="E172" s="26" t="inlineStr">
        <is>
          <t>Tensile Stress - HY Result Table</t>
        </is>
      </c>
      <c r="F172" s="26" t="n"/>
      <c r="G172" s="26" t="n"/>
      <c r="H172" s="26" t="inlineStr">
        <is>
          <t>POST</t>
        </is>
      </c>
      <c r="I172" s="26" t="inlineStr">
        <is>
          <t>TABLE</t>
        </is>
      </c>
      <c r="J172" s="26" t="n"/>
      <c r="K172" s="26" t="n"/>
      <c r="L172" s="26" t="inlineStr">
        <is>
          <t>/POST/TABLE</t>
        </is>
      </c>
      <c r="M172" s="26" t="inlineStr">
        <is>
          <t>HEAT_HYDR_TENS_STRESS</t>
        </is>
      </c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inlineStr">
        <is>
          <t>POST</t>
        </is>
      </c>
      <c r="W172" s="26" t="n"/>
      <c r="X172" s="26" t="n"/>
    </row>
    <row r="173">
      <c r="A173" s="26" t="n"/>
      <c r="B173" s="26" t="n"/>
      <c r="C173" s="26" t="inlineStr">
        <is>
          <t>POST</t>
        </is>
      </c>
      <c r="D173" s="26" t="inlineStr">
        <is>
          <t>POST</t>
        </is>
      </c>
      <c r="E173" s="26" t="inlineStr">
        <is>
          <t>Pipe Cooling Nodal Temperature - HY Result Table</t>
        </is>
      </c>
      <c r="F173" s="26" t="n"/>
      <c r="G173" s="26" t="n"/>
      <c r="H173" s="26" t="inlineStr">
        <is>
          <t>POST</t>
        </is>
      </c>
      <c r="I173" s="26" t="inlineStr">
        <is>
          <t>TABLE</t>
        </is>
      </c>
      <c r="J173" s="26" t="n"/>
      <c r="K173" s="26" t="n"/>
      <c r="L173" s="26" t="inlineStr">
        <is>
          <t>/POST/TABLE</t>
        </is>
      </c>
      <c r="M173" s="26" t="inlineStr">
        <is>
          <t>HEAT_HYDR_PIPE_NODE_TEMP</t>
        </is>
      </c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inlineStr">
        <is>
          <t>POST</t>
        </is>
      </c>
      <c r="W173" s="26" t="n"/>
      <c r="X173" s="26" t="n"/>
    </row>
    <row r="174">
      <c r="A174" s="26" t="n"/>
      <c r="B174" s="26" t="n"/>
      <c r="C174" s="26" t="inlineStr">
        <is>
          <t>POST</t>
        </is>
      </c>
      <c r="D174" s="26" t="inlineStr">
        <is>
          <t>POST</t>
        </is>
      </c>
      <c r="E174" s="26" t="inlineStr">
        <is>
          <t>Concrete Design - Beam Design Forces</t>
        </is>
      </c>
      <c r="F174" s="26" t="n"/>
      <c r="G174" s="26" t="n"/>
      <c r="H174" s="26" t="inlineStr">
        <is>
          <t>POST</t>
        </is>
      </c>
      <c r="I174" s="26" t="inlineStr">
        <is>
          <t>TABLE</t>
        </is>
      </c>
      <c r="J174" s="26" t="n"/>
      <c r="K174" s="26" t="n"/>
      <c r="L174" s="26" t="inlineStr">
        <is>
          <t>/POST/TABLE</t>
        </is>
      </c>
      <c r="M174" s="26" t="inlineStr">
        <is>
          <t>BEAMDESIGNFORCES</t>
        </is>
      </c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inlineStr">
        <is>
          <t>POST</t>
        </is>
      </c>
      <c r="W174" s="26" t="n"/>
      <c r="X174" s="26" t="n"/>
    </row>
    <row r="175">
      <c r="A175" s="26" t="n"/>
      <c r="B175" s="26" t="n"/>
      <c r="C175" s="26" t="inlineStr">
        <is>
          <t>POST</t>
        </is>
      </c>
      <c r="D175" s="26" t="inlineStr">
        <is>
          <t>POST</t>
        </is>
      </c>
      <c r="E175" s="26" t="inlineStr">
        <is>
          <t>Concrete Design - Column Design Forces</t>
        </is>
      </c>
      <c r="F175" s="26" t="n"/>
      <c r="G175" s="26" t="n"/>
      <c r="H175" s="26" t="inlineStr">
        <is>
          <t>POST</t>
        </is>
      </c>
      <c r="I175" s="26" t="inlineStr">
        <is>
          <t>TABLE</t>
        </is>
      </c>
      <c r="J175" s="26" t="n"/>
      <c r="K175" s="26" t="n"/>
      <c r="L175" s="26" t="inlineStr">
        <is>
          <t>/POST/TABLE</t>
        </is>
      </c>
      <c r="M175" s="26" t="inlineStr">
        <is>
          <t>COLUMNDESIGNFORCES</t>
        </is>
      </c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inlineStr">
        <is>
          <t>POST</t>
        </is>
      </c>
      <c r="W175" s="26" t="n"/>
      <c r="X175" s="26" t="n"/>
    </row>
    <row r="176">
      <c r="A176" s="26" t="n"/>
      <c r="B176" s="26" t="n"/>
      <c r="C176" s="26" t="inlineStr">
        <is>
          <t>POST</t>
        </is>
      </c>
      <c r="D176" s="26" t="inlineStr">
        <is>
          <t>POST</t>
        </is>
      </c>
      <c r="E176" s="26" t="inlineStr">
        <is>
          <t>Concrete Design - Brace Design Forces</t>
        </is>
      </c>
      <c r="F176" s="26" t="n"/>
      <c r="G176" s="26" t="n"/>
      <c r="H176" s="26" t="inlineStr">
        <is>
          <t>POST</t>
        </is>
      </c>
      <c r="I176" s="26" t="inlineStr">
        <is>
          <t>TABLE</t>
        </is>
      </c>
      <c r="J176" s="26" t="n"/>
      <c r="K176" s="26" t="n"/>
      <c r="L176" s="26" t="inlineStr">
        <is>
          <t>/POST/TABLE</t>
        </is>
      </c>
      <c r="M176" s="26" t="inlineStr">
        <is>
          <t>BRACEDESIGNFORCES</t>
        </is>
      </c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inlineStr">
        <is>
          <t>POST</t>
        </is>
      </c>
      <c r="W176" s="26" t="n"/>
      <c r="X176" s="26" t="n"/>
    </row>
    <row r="177">
      <c r="A177" s="26" t="n"/>
      <c r="B177" s="26" t="n"/>
      <c r="C177" s="26" t="inlineStr">
        <is>
          <t>POST</t>
        </is>
      </c>
      <c r="D177" s="26" t="inlineStr">
        <is>
          <t>POST</t>
        </is>
      </c>
      <c r="E177" s="26" t="inlineStr">
        <is>
          <t>Concrete Design - Wall Design Forces</t>
        </is>
      </c>
      <c r="F177" s="26" t="n"/>
      <c r="G177" s="26" t="n"/>
      <c r="H177" s="26" t="inlineStr">
        <is>
          <t>POST</t>
        </is>
      </c>
      <c r="I177" s="26" t="inlineStr">
        <is>
          <t>TABLE</t>
        </is>
      </c>
      <c r="J177" s="26" t="n"/>
      <c r="K177" s="26" t="n"/>
      <c r="L177" s="26" t="inlineStr">
        <is>
          <t>/POST/TABLE</t>
        </is>
      </c>
      <c r="M177" s="26" t="inlineStr">
        <is>
          <t>WALLDESIGNFORCES</t>
        </is>
      </c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inlineStr">
        <is>
          <t>POST</t>
        </is>
      </c>
      <c r="W177" s="26" t="n"/>
      <c r="X177" s="26" t="n"/>
    </row>
    <row r="178">
      <c r="A178" s="26" t="n"/>
      <c r="B178" s="26" t="n"/>
      <c r="C178" s="26" t="inlineStr">
        <is>
          <t>POST</t>
        </is>
      </c>
      <c r="D178" s="26" t="inlineStr">
        <is>
          <t>POST</t>
        </is>
      </c>
      <c r="E178" s="26" t="inlineStr">
        <is>
          <t>Steel Design - Steel Member Design Forces</t>
        </is>
      </c>
      <c r="F178" s="26" t="n"/>
      <c r="G178" s="26" t="n"/>
      <c r="H178" s="26" t="inlineStr">
        <is>
          <t>POST</t>
        </is>
      </c>
      <c r="I178" s="26" t="inlineStr">
        <is>
          <t>TABLE</t>
        </is>
      </c>
      <c r="J178" s="26" t="n"/>
      <c r="K178" s="26" t="n"/>
      <c r="L178" s="26" t="inlineStr">
        <is>
          <t>/POST/TABLE</t>
        </is>
      </c>
      <c r="M178" s="26" t="inlineStr">
        <is>
          <t>STEELMEMBERDESIGNFORCES</t>
        </is>
      </c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inlineStr">
        <is>
          <t>POST</t>
        </is>
      </c>
      <c r="W178" s="26" t="n"/>
      <c r="X178" s="26" t="n"/>
    </row>
    <row r="179">
      <c r="A179" s="26" t="n"/>
      <c r="B179" s="26" t="n"/>
      <c r="C179" s="26" t="inlineStr">
        <is>
          <t>POST</t>
        </is>
      </c>
      <c r="D179" s="26" t="inlineStr">
        <is>
          <t>POST</t>
        </is>
      </c>
      <c r="E179" s="26" t="inlineStr">
        <is>
          <t>SRC Design - SRC Beam Design Forces</t>
        </is>
      </c>
      <c r="F179" s="26" t="n"/>
      <c r="G179" s="26" t="n"/>
      <c r="H179" s="26" t="inlineStr">
        <is>
          <t>POST</t>
        </is>
      </c>
      <c r="I179" s="26" t="inlineStr">
        <is>
          <t>TABLE</t>
        </is>
      </c>
      <c r="J179" s="26" t="n"/>
      <c r="K179" s="26" t="n"/>
      <c r="L179" s="26" t="inlineStr">
        <is>
          <t>/POST/TABLE</t>
        </is>
      </c>
      <c r="M179" s="26" t="inlineStr">
        <is>
          <t>SRCBEAMDESIGNFORCES</t>
        </is>
      </c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inlineStr">
        <is>
          <t>POST</t>
        </is>
      </c>
      <c r="W179" s="26" t="n"/>
      <c r="X179" s="26" t="n"/>
    </row>
    <row r="180">
      <c r="A180" s="26" t="n"/>
      <c r="B180" s="26" t="n"/>
      <c r="C180" s="26" t="inlineStr">
        <is>
          <t>POST</t>
        </is>
      </c>
      <c r="D180" s="26" t="inlineStr">
        <is>
          <t>POST</t>
        </is>
      </c>
      <c r="E180" s="26" t="inlineStr">
        <is>
          <t>SRC Design - SRC Column Design Forces</t>
        </is>
      </c>
      <c r="F180" s="26" t="n"/>
      <c r="G180" s="26" t="n"/>
      <c r="H180" s="26" t="inlineStr">
        <is>
          <t>POST</t>
        </is>
      </c>
      <c r="I180" s="26" t="inlineStr">
        <is>
          <t>TABLE</t>
        </is>
      </c>
      <c r="J180" s="26" t="n"/>
      <c r="K180" s="26" t="n"/>
      <c r="L180" s="26" t="inlineStr">
        <is>
          <t>/POST/TABLE</t>
        </is>
      </c>
      <c r="M180" s="26" t="inlineStr">
        <is>
          <t>SRCCOLUMNDESIGNFORCES</t>
        </is>
      </c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inlineStr">
        <is>
          <t>POST</t>
        </is>
      </c>
      <c r="W180" s="26" t="n"/>
      <c r="X180" s="26" t="n"/>
    </row>
    <row r="181">
      <c r="A181" s="26" t="n"/>
      <c r="B181" s="26" t="n"/>
      <c r="C181" s="26" t="inlineStr">
        <is>
          <t>POST</t>
        </is>
      </c>
      <c r="D181" s="26" t="inlineStr">
        <is>
          <t>POST</t>
        </is>
      </c>
      <c r="E181" s="26" t="inlineStr">
        <is>
          <t>Cold Formed Design - Cold Formed Steel Member Design Forces</t>
        </is>
      </c>
      <c r="F181" s="26" t="n"/>
      <c r="G181" s="26" t="n"/>
      <c r="H181" s="26" t="inlineStr">
        <is>
          <t>POST</t>
        </is>
      </c>
      <c r="I181" s="26" t="inlineStr">
        <is>
          <t>TABLE</t>
        </is>
      </c>
      <c r="J181" s="26" t="n"/>
      <c r="K181" s="26" t="n"/>
      <c r="L181" s="26" t="inlineStr">
        <is>
          <t>/POST/TABLE</t>
        </is>
      </c>
      <c r="M181" s="26" t="inlineStr">
        <is>
          <t>COLDFORMEDSTEELMEMBERDESIGNFORCES</t>
        </is>
      </c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inlineStr">
        <is>
          <t>POST</t>
        </is>
      </c>
      <c r="W181" s="26" t="n"/>
      <c r="X181" s="26" t="n"/>
    </row>
    <row r="182">
      <c r="A182" s="26" t="n"/>
      <c r="B182" s="26" t="n"/>
      <c r="C182" s="26" t="inlineStr">
        <is>
          <t>POST</t>
        </is>
      </c>
      <c r="D182" s="26" t="inlineStr">
        <is>
          <t>POST</t>
        </is>
      </c>
      <c r="E182" s="26" t="inlineStr">
        <is>
          <t>Pushover Text - Elastic Link Result</t>
        </is>
      </c>
      <c r="F182" s="26" t="n"/>
      <c r="G182" s="26" t="n"/>
      <c r="H182" s="26" t="inlineStr">
        <is>
          <t>POST</t>
        </is>
      </c>
      <c r="I182" s="26" t="inlineStr">
        <is>
          <t>TEXT</t>
        </is>
      </c>
      <c r="J182" s="26" t="n"/>
      <c r="K182" s="26" t="n"/>
      <c r="L182" s="26" t="inlineStr">
        <is>
          <t>/POST/TEXT</t>
        </is>
      </c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inlineStr">
        <is>
          <t>POST</t>
        </is>
      </c>
      <c r="W182" s="26" t="n"/>
      <c r="X182" s="26" t="n"/>
    </row>
    <row r="183">
      <c r="A183" s="26" t="n"/>
      <c r="B183" s="26" t="n"/>
      <c r="C183" s="26" t="inlineStr">
        <is>
          <t>CONFIG</t>
        </is>
      </c>
      <c r="D183" s="26" t="inlineStr">
        <is>
          <t>CONFIG</t>
        </is>
      </c>
      <c r="E183" s="26" t="inlineStr">
        <is>
          <t>Project Configuration</t>
        </is>
      </c>
      <c r="F183" s="26" t="n"/>
      <c r="G183" s="26" t="n"/>
      <c r="H183" s="26" t="inlineStr">
        <is>
          <t>CONFIG</t>
        </is>
      </c>
      <c r="I183" s="26" t="inlineStr">
        <is>
          <t>PROJECT</t>
        </is>
      </c>
      <c r="J183" s="26" t="n"/>
      <c r="K183" s="26" t="n"/>
      <c r="L183" s="26" t="inlineStr">
        <is>
          <t>/CONFIG/PROJECT</t>
        </is>
      </c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inlineStr">
        <is>
          <t>GET</t>
        </is>
      </c>
      <c r="W183" s="26" t="n"/>
      <c r="X183" s="26" t="n"/>
    </row>
    <row r="184">
      <c r="A184" s="26" t="n"/>
      <c r="B184" s="26" t="n"/>
      <c r="C184" s="26" t="inlineStr">
        <is>
          <t>CONFIG</t>
        </is>
      </c>
      <c r="D184" s="26" t="inlineStr">
        <is>
          <t>CONFIG</t>
        </is>
      </c>
      <c r="E184" s="26" t="inlineStr">
        <is>
          <t>API Version Information</t>
        </is>
      </c>
      <c r="F184" s="26" t="n"/>
      <c r="G184" s="26" t="n"/>
      <c r="H184" s="26" t="inlineStr">
        <is>
          <t>CONFIG</t>
        </is>
      </c>
      <c r="I184" s="26" t="inlineStr">
        <is>
          <t>VER</t>
        </is>
      </c>
      <c r="J184" s="26" t="n"/>
      <c r="K184" s="26" t="n"/>
      <c r="L184" s="26" t="inlineStr">
        <is>
          <t>/CONFIG/VER</t>
        </is>
      </c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inlineStr">
        <is>
          <t>GET</t>
        </is>
      </c>
      <c r="W184" s="26" t="n"/>
      <c r="X184" s="26" t="n"/>
    </row>
    <row r="185">
      <c r="A185" s="26" t="n"/>
      <c r="B185" s="26" t="n"/>
      <c r="C185" s="26" t="inlineStr">
        <is>
          <t>Description</t>
        </is>
      </c>
      <c r="D185" s="26" t="inlineStr">
        <is>
          <t>Description</t>
        </is>
      </c>
      <c r="E185" s="26" t="inlineStr">
        <is>
          <t>Main Control Data</t>
        </is>
      </c>
      <c r="F185" s="26" t="n"/>
      <c r="G185" s="26" t="n"/>
      <c r="H185" s="26" t="inlineStr">
        <is>
          <t>INFO</t>
        </is>
      </c>
      <c r="I185" s="26" t="inlineStr">
        <is>
          <t>DB</t>
        </is>
      </c>
      <c r="J185" s="26" t="inlineStr">
        <is>
          <t>ACTL</t>
        </is>
      </c>
      <c r="K185" s="26" t="n"/>
      <c r="L185" s="26" t="inlineStr">
        <is>
          <t>/INFO/DB/ACTL</t>
        </is>
      </c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inlineStr">
        <is>
          <t>GET</t>
        </is>
      </c>
      <c r="W185" s="26" t="n"/>
      <c r="X185" s="26" t="n"/>
    </row>
    <row r="186">
      <c r="A186" s="26" t="n"/>
      <c r="B186" s="26" t="n"/>
      <c r="C186" s="26" t="inlineStr">
        <is>
          <t>Description</t>
        </is>
      </c>
      <c r="D186" s="26" t="inlineStr">
        <is>
          <t>Description</t>
        </is>
      </c>
      <c r="E186" s="26" t="n"/>
      <c r="F186" s="26" t="n"/>
      <c r="G186" s="26" t="n"/>
      <c r="H186" s="26" t="inlineStr">
        <is>
          <t>INFO</t>
        </is>
      </c>
      <c r="I186" s="26" t="inlineStr">
        <is>
          <t>DB</t>
        </is>
      </c>
      <c r="J186" s="26" t="inlineStr">
        <is>
          <t>ARPR</t>
        </is>
      </c>
      <c r="K186" s="26" t="n"/>
      <c r="L186" s="26" t="inlineStr">
        <is>
          <t>/INFO/DB/ARPR</t>
        </is>
      </c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inlineStr">
        <is>
          <t>GET</t>
        </is>
      </c>
      <c r="W186" s="26" t="n"/>
      <c r="X186" s="26" t="n"/>
    </row>
    <row r="187">
      <c r="A187" s="26" t="n"/>
      <c r="B187" s="26" t="n"/>
      <c r="C187" s="26" t="inlineStr">
        <is>
          <t>Description</t>
        </is>
      </c>
      <c r="D187" s="26" t="inlineStr">
        <is>
          <t>Description</t>
        </is>
      </c>
      <c r="E187" s="26" t="inlineStr">
        <is>
          <t>Boundary Change Assignment</t>
        </is>
      </c>
      <c r="F187" s="26" t="n"/>
      <c r="G187" s="26" t="n"/>
      <c r="H187" s="26" t="inlineStr">
        <is>
          <t>INFO</t>
        </is>
      </c>
      <c r="I187" s="26" t="inlineStr">
        <is>
          <t>DB</t>
        </is>
      </c>
      <c r="J187" s="26" t="inlineStr">
        <is>
          <t>BCCT</t>
        </is>
      </c>
      <c r="K187" s="26" t="n"/>
      <c r="L187" s="26" t="inlineStr">
        <is>
          <t>/INFO/DB/BCCT</t>
        </is>
      </c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inlineStr">
        <is>
          <t>GET</t>
        </is>
      </c>
      <c r="W187" s="26" t="n"/>
      <c r="X187" s="26" t="n"/>
    </row>
    <row r="188">
      <c r="A188" s="26" t="n"/>
      <c r="B188" s="26" t="n"/>
      <c r="C188" s="26" t="inlineStr">
        <is>
          <t>Description</t>
        </is>
      </c>
      <c r="D188" s="26" t="inlineStr">
        <is>
          <t>Description</t>
        </is>
      </c>
      <c r="E188" s="26" t="inlineStr">
        <is>
          <t>Beam Loads</t>
        </is>
      </c>
      <c r="F188" s="26" t="n"/>
      <c r="G188" s="26" t="n"/>
      <c r="H188" s="26" t="inlineStr">
        <is>
          <t>INFO</t>
        </is>
      </c>
      <c r="I188" s="26" t="inlineStr">
        <is>
          <t>DB</t>
        </is>
      </c>
      <c r="J188" s="26" t="inlineStr">
        <is>
          <t>BMLD</t>
        </is>
      </c>
      <c r="K188" s="26" t="n"/>
      <c r="L188" s="26" t="inlineStr">
        <is>
          <t>/INFO/DB/BMLD</t>
        </is>
      </c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inlineStr">
        <is>
          <t>GET</t>
        </is>
      </c>
      <c r="W188" s="26" t="n"/>
      <c r="X188" s="26" t="n"/>
    </row>
    <row r="189">
      <c r="A189" s="26" t="n"/>
      <c r="B189" s="26" t="n"/>
      <c r="C189" s="26" t="inlineStr">
        <is>
          <t>Description</t>
        </is>
      </c>
      <c r="D189" s="26" t="inlineStr">
        <is>
          <t>Description</t>
        </is>
      </c>
      <c r="E189" s="26" t="inlineStr">
        <is>
          <t>Boundary Group</t>
        </is>
      </c>
      <c r="F189" s="26" t="n"/>
      <c r="G189" s="26" t="n"/>
      <c r="H189" s="26" t="inlineStr">
        <is>
          <t>INFO</t>
        </is>
      </c>
      <c r="I189" s="26" t="inlineStr">
        <is>
          <t>DB</t>
        </is>
      </c>
      <c r="J189" s="26" t="inlineStr">
        <is>
          <t>BNGR</t>
        </is>
      </c>
      <c r="K189" s="26" t="n"/>
      <c r="L189" s="26" t="inlineStr">
        <is>
          <t>/INFO/DB/BNGR</t>
        </is>
      </c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inlineStr">
        <is>
          <t>GET</t>
        </is>
      </c>
      <c r="W189" s="26" t="n"/>
      <c r="X189" s="26" t="n"/>
    </row>
    <row r="190">
      <c r="A190" s="26" t="n"/>
      <c r="B190" s="26" t="n"/>
      <c r="C190" s="26" t="inlineStr">
        <is>
          <t>Description</t>
        </is>
      </c>
      <c r="D190" s="26" t="inlineStr">
        <is>
          <t>Description</t>
        </is>
      </c>
      <c r="E190" s="26" t="inlineStr">
        <is>
          <t>Self-Weight</t>
        </is>
      </c>
      <c r="F190" s="26" t="n"/>
      <c r="G190" s="26" t="n"/>
      <c r="H190" s="26" t="inlineStr">
        <is>
          <t>INFO</t>
        </is>
      </c>
      <c r="I190" s="26" t="inlineStr">
        <is>
          <t>DB</t>
        </is>
      </c>
      <c r="J190" s="26" t="inlineStr">
        <is>
          <t>BODF</t>
        </is>
      </c>
      <c r="K190" s="26" t="n"/>
      <c r="L190" s="26" t="inlineStr">
        <is>
          <t>/INFO/DB/BODF</t>
        </is>
      </c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inlineStr">
        <is>
          <t>GET</t>
        </is>
      </c>
      <c r="W190" s="26" t="n"/>
      <c r="X190" s="26" t="n"/>
    </row>
    <row r="191">
      <c r="A191" s="26" t="n"/>
      <c r="B191" s="26" t="n"/>
      <c r="C191" s="26" t="inlineStr">
        <is>
          <t>Description</t>
        </is>
      </c>
      <c r="D191" s="26" t="inlineStr">
        <is>
          <t>Description</t>
        </is>
      </c>
      <c r="E191" s="26" t="inlineStr">
        <is>
          <t>Beam Section Temperature</t>
        </is>
      </c>
      <c r="F191" s="26" t="n"/>
      <c r="G191" s="26" t="n"/>
      <c r="H191" s="26" t="inlineStr">
        <is>
          <t>INFO</t>
        </is>
      </c>
      <c r="I191" s="26" t="inlineStr">
        <is>
          <t>DB</t>
        </is>
      </c>
      <c r="J191" s="26" t="inlineStr">
        <is>
          <t>BTMP</t>
        </is>
      </c>
      <c r="K191" s="26" t="n"/>
      <c r="L191" s="26" t="inlineStr">
        <is>
          <t>/INFO/DB/BTMP</t>
        </is>
      </c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inlineStr">
        <is>
          <t>GET</t>
        </is>
      </c>
      <c r="W191" s="26" t="n"/>
      <c r="X191" s="26" t="n"/>
    </row>
    <row r="192">
      <c r="A192" s="26" t="n"/>
      <c r="B192" s="26" t="n"/>
      <c r="C192" s="26" t="inlineStr">
        <is>
          <t>Description</t>
        </is>
      </c>
      <c r="D192" s="26" t="inlineStr">
        <is>
          <t>Description</t>
        </is>
      </c>
      <c r="E192" s="26" t="inlineStr">
        <is>
          <t>Buckling Analysis Control</t>
        </is>
      </c>
      <c r="F192" s="26" t="n"/>
      <c r="G192" s="26" t="n"/>
      <c r="H192" s="26" t="inlineStr">
        <is>
          <t>INFO</t>
        </is>
      </c>
      <c r="I192" s="26" t="inlineStr">
        <is>
          <t>DB</t>
        </is>
      </c>
      <c r="J192" s="26" t="inlineStr">
        <is>
          <t>BUCK</t>
        </is>
      </c>
      <c r="K192" s="26" t="n"/>
      <c r="L192" s="26" t="inlineStr">
        <is>
          <t>/INFO/DB/BUCK</t>
        </is>
      </c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inlineStr">
        <is>
          <t>GET</t>
        </is>
      </c>
      <c r="W192" s="26" t="n"/>
      <c r="X192" s="26" t="n"/>
    </row>
    <row r="193">
      <c r="A193" s="26" t="n"/>
      <c r="B193" s="26" t="n"/>
      <c r="C193" s="26" t="inlineStr">
        <is>
          <t>Description</t>
        </is>
      </c>
      <c r="D193" s="26" t="inlineStr">
        <is>
          <t>Description</t>
        </is>
      </c>
      <c r="E193" s="26" t="inlineStr">
        <is>
          <t>FCM Camber Control</t>
        </is>
      </c>
      <c r="F193" s="26" t="n"/>
      <c r="G193" s="26" t="n"/>
      <c r="H193" s="26" t="inlineStr">
        <is>
          <t>INFO</t>
        </is>
      </c>
      <c r="I193" s="26" t="inlineStr">
        <is>
          <t>DB</t>
        </is>
      </c>
      <c r="J193" s="26" t="inlineStr">
        <is>
          <t>CAMB</t>
        </is>
      </c>
      <c r="K193" s="26" t="n"/>
      <c r="L193" s="26" t="inlineStr">
        <is>
          <t>/INFO/DB/CAMB</t>
        </is>
      </c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inlineStr">
        <is>
          <t>GET</t>
        </is>
      </c>
      <c r="W193" s="26" t="n"/>
      <c r="X193" s="26" t="n"/>
    </row>
    <row r="194">
      <c r="A194" s="26" t="n"/>
      <c r="B194" s="26" t="n"/>
      <c r="C194" s="26" t="inlineStr">
        <is>
          <t>Description</t>
        </is>
      </c>
      <c r="D194" s="26" t="inlineStr">
        <is>
          <t>Description</t>
        </is>
      </c>
      <c r="E194" s="26" t="inlineStr">
        <is>
          <t>Convection Coefficient Functions</t>
        </is>
      </c>
      <c r="F194" s="26" t="n"/>
      <c r="G194" s="26" t="n"/>
      <c r="H194" s="26" t="inlineStr">
        <is>
          <t>INFO</t>
        </is>
      </c>
      <c r="I194" s="26" t="inlineStr">
        <is>
          <t>DB</t>
        </is>
      </c>
      <c r="J194" s="26" t="inlineStr">
        <is>
          <t>CCFC</t>
        </is>
      </c>
      <c r="K194" s="26" t="n"/>
      <c r="L194" s="26" t="inlineStr">
        <is>
          <t>/INFO/DB/CCFC</t>
        </is>
      </c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inlineStr">
        <is>
          <t>GET</t>
        </is>
      </c>
      <c r="W194" s="26" t="n"/>
      <c r="X194" s="26" t="n"/>
    </row>
    <row r="195">
      <c r="A195" s="26" t="n"/>
      <c r="B195" s="26" t="n"/>
      <c r="C195" s="26" t="inlineStr">
        <is>
          <t>Description</t>
        </is>
      </c>
      <c r="D195" s="26" t="inlineStr">
        <is>
          <t>Description</t>
        </is>
      </c>
      <c r="E195" s="26" t="inlineStr">
        <is>
          <t>Change General Link Property</t>
        </is>
      </c>
      <c r="F195" s="26" t="n"/>
      <c r="G195" s="26" t="n"/>
      <c r="H195" s="26" t="inlineStr">
        <is>
          <t>INFO</t>
        </is>
      </c>
      <c r="I195" s="26" t="inlineStr">
        <is>
          <t>DB</t>
        </is>
      </c>
      <c r="J195" s="26" t="inlineStr">
        <is>
          <t>CGLP</t>
        </is>
      </c>
      <c r="K195" s="26" t="n"/>
      <c r="L195" s="26" t="inlineStr">
        <is>
          <t>/INFO/DB/CGLP</t>
        </is>
      </c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inlineStr">
        <is>
          <t>GET</t>
        </is>
      </c>
      <c r="W195" s="26" t="n"/>
      <c r="X195" s="26" t="n"/>
    </row>
    <row r="196">
      <c r="A196" s="26" t="n"/>
      <c r="B196" s="26" t="n"/>
      <c r="C196" s="26" t="inlineStr">
        <is>
          <t>Description</t>
        </is>
      </c>
      <c r="D196" s="26" t="inlineStr">
        <is>
          <t>Description</t>
        </is>
      </c>
      <c r="E196" s="26" t="inlineStr">
        <is>
          <t>Concurrent Joint Force Group</t>
        </is>
      </c>
      <c r="F196" s="26" t="n"/>
      <c r="G196" s="26" t="n"/>
      <c r="H196" s="26" t="inlineStr">
        <is>
          <t>INFO</t>
        </is>
      </c>
      <c r="I196" s="26" t="inlineStr">
        <is>
          <t>DB</t>
        </is>
      </c>
      <c r="J196" s="26" t="inlineStr">
        <is>
          <t>CJFG</t>
        </is>
      </c>
      <c r="K196" s="26" t="n"/>
      <c r="L196" s="26" t="inlineStr">
        <is>
          <t>/INFO/DB/CJFG</t>
        </is>
      </c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inlineStr">
        <is>
          <t>GET</t>
        </is>
      </c>
      <c r="W196" s="26" t="n"/>
      <c r="X196" s="26" t="n"/>
    </row>
    <row r="197">
      <c r="A197" s="26" t="n"/>
      <c r="B197" s="26" t="n"/>
      <c r="C197" s="26" t="inlineStr">
        <is>
          <t>Description</t>
        </is>
      </c>
      <c r="D197" s="26" t="inlineStr">
        <is>
          <t>Description</t>
        </is>
      </c>
      <c r="E197" s="26" t="inlineStr">
        <is>
          <t>Define Constraints Label Direction</t>
        </is>
      </c>
      <c r="F197" s="26" t="n"/>
      <c r="G197" s="26" t="n"/>
      <c r="H197" s="26" t="inlineStr">
        <is>
          <t>INFO</t>
        </is>
      </c>
      <c r="I197" s="26" t="inlineStr">
        <is>
          <t>DB</t>
        </is>
      </c>
      <c r="J197" s="26" t="inlineStr">
        <is>
          <t>CLDR</t>
        </is>
      </c>
      <c r="K197" s="26" t="n"/>
      <c r="L197" s="26" t="inlineStr">
        <is>
          <t>/INFO/DB/CLDR</t>
        </is>
      </c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inlineStr">
        <is>
          <t>GET</t>
        </is>
      </c>
      <c r="W197" s="26" t="n"/>
      <c r="X197" s="26" t="n"/>
    </row>
    <row r="198">
      <c r="A198" s="26" t="n"/>
      <c r="B198" s="26" t="n"/>
      <c r="C198" s="26" t="inlineStr">
        <is>
          <t>Description</t>
        </is>
      </c>
      <c r="D198" s="26" t="inlineStr">
        <is>
          <t>Description</t>
        </is>
      </c>
      <c r="E198" s="26" t="inlineStr">
        <is>
          <t>Plate Cutting Line Diagram</t>
        </is>
      </c>
      <c r="F198" s="26" t="n"/>
      <c r="G198" s="26" t="n"/>
      <c r="H198" s="26" t="inlineStr">
        <is>
          <t>INFO</t>
        </is>
      </c>
      <c r="I198" s="26" t="inlineStr">
        <is>
          <t>DB</t>
        </is>
      </c>
      <c r="J198" s="26" t="inlineStr">
        <is>
          <t>CLWP</t>
        </is>
      </c>
      <c r="K198" s="26" t="n"/>
      <c r="L198" s="26" t="inlineStr">
        <is>
          <t>/INFO/DB/CLWP</t>
        </is>
      </c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inlineStr">
        <is>
          <t>GET</t>
        </is>
      </c>
      <c r="W198" s="26" t="n"/>
      <c r="X198" s="26" t="n"/>
    </row>
    <row r="199">
      <c r="A199" s="26" t="n"/>
      <c r="B199" s="26" t="n"/>
      <c r="C199" s="26" t="inlineStr">
        <is>
          <t>Description</t>
        </is>
      </c>
      <c r="D199" s="26" t="inlineStr">
        <is>
          <t>Description</t>
        </is>
      </c>
      <c r="E199" s="26" t="inlineStr">
        <is>
          <t>Camber for Construction Stage</t>
        </is>
      </c>
      <c r="F199" s="26" t="n"/>
      <c r="G199" s="26" t="n"/>
      <c r="H199" s="26" t="inlineStr">
        <is>
          <t>INFO</t>
        </is>
      </c>
      <c r="I199" s="26" t="inlineStr">
        <is>
          <t>DB</t>
        </is>
      </c>
      <c r="J199" s="26" t="inlineStr">
        <is>
          <t>CMCS</t>
        </is>
      </c>
      <c r="K199" s="26" t="n"/>
      <c r="L199" s="26" t="inlineStr">
        <is>
          <t>/INFO/DB/CMCS</t>
        </is>
      </c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inlineStr">
        <is>
          <t>GET</t>
        </is>
      </c>
      <c r="W199" s="26" t="n"/>
      <c r="X199" s="26" t="n"/>
    </row>
    <row r="200">
      <c r="A200" s="26" t="n"/>
      <c r="B200" s="26" t="n"/>
      <c r="C200" s="26" t="inlineStr">
        <is>
          <t>Description</t>
        </is>
      </c>
      <c r="D200" s="26" t="inlineStr">
        <is>
          <t>Description</t>
        </is>
      </c>
      <c r="E200" s="26" t="n"/>
      <c r="F200" s="26" t="n"/>
      <c r="G200" s="26" t="n"/>
      <c r="H200" s="26" t="inlineStr">
        <is>
          <t>INFO</t>
        </is>
      </c>
      <c r="I200" s="26" t="inlineStr">
        <is>
          <t>DB</t>
        </is>
      </c>
      <c r="J200" s="26" t="inlineStr">
        <is>
          <t>CMFT</t>
        </is>
      </c>
      <c r="K200" s="26" t="n"/>
      <c r="L200" s="26" t="inlineStr">
        <is>
          <t>/INFO/DB/CMFT</t>
        </is>
      </c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inlineStr">
        <is>
          <t>GET</t>
        </is>
      </c>
      <c r="W200" s="26" t="n"/>
      <c r="X200" s="26" t="n"/>
    </row>
    <row r="201">
      <c r="A201" s="26" t="n"/>
      <c r="B201" s="26" t="n"/>
      <c r="C201" s="26" t="inlineStr">
        <is>
          <t>Description</t>
        </is>
      </c>
      <c r="D201" s="26" t="inlineStr">
        <is>
          <t>Description</t>
        </is>
      </c>
      <c r="E201" s="26" t="inlineStr">
        <is>
          <t>Nodal Loads</t>
        </is>
      </c>
      <c r="F201" s="26" t="n"/>
      <c r="G201" s="26" t="n"/>
      <c r="H201" s="26" t="inlineStr">
        <is>
          <t>INFO</t>
        </is>
      </c>
      <c r="I201" s="26" t="inlineStr">
        <is>
          <t>DB</t>
        </is>
      </c>
      <c r="J201" s="26" t="inlineStr">
        <is>
          <t>CNLD</t>
        </is>
      </c>
      <c r="K201" s="26" t="n"/>
      <c r="L201" s="26" t="inlineStr">
        <is>
          <t>/INFO/DB/CNLD</t>
        </is>
      </c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inlineStr">
        <is>
          <t>GET</t>
        </is>
      </c>
      <c r="W201" s="26" t="n"/>
      <c r="X201" s="26" t="n"/>
    </row>
    <row r="202">
      <c r="A202" s="26" t="n"/>
      <c r="B202" s="26" t="n"/>
      <c r="C202" s="26" t="inlineStr">
        <is>
          <t>Description</t>
        </is>
      </c>
      <c r="D202" s="26" t="inlineStr">
        <is>
          <t>Description</t>
        </is>
      </c>
      <c r="E202" s="26" t="inlineStr">
        <is>
          <t>Constraint Support</t>
        </is>
      </c>
      <c r="F202" s="26" t="n"/>
      <c r="G202" s="26" t="n"/>
      <c r="H202" s="26" t="inlineStr">
        <is>
          <t>INFO</t>
        </is>
      </c>
      <c r="I202" s="26" t="inlineStr">
        <is>
          <t>DB</t>
        </is>
      </c>
      <c r="J202" s="26" t="inlineStr">
        <is>
          <t>CONS</t>
        </is>
      </c>
      <c r="K202" s="26" t="n"/>
      <c r="L202" s="26" t="inlineStr">
        <is>
          <t>/INFO/DB/CONS</t>
        </is>
      </c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inlineStr">
        <is>
          <t>GET</t>
        </is>
      </c>
      <c r="W202" s="26" t="n"/>
      <c r="X202" s="26" t="n"/>
    </row>
    <row r="203">
      <c r="A203" s="26" t="n"/>
      <c r="B203" s="26" t="n"/>
      <c r="C203" s="26" t="inlineStr">
        <is>
          <t>Description</t>
        </is>
      </c>
      <c r="D203" s="26" t="inlineStr">
        <is>
          <t>Description</t>
        </is>
      </c>
      <c r="E203" s="26" t="inlineStr">
        <is>
          <t>Floor Load Color</t>
        </is>
      </c>
      <c r="F203" s="26" t="n"/>
      <c r="G203" s="26" t="n"/>
      <c r="H203" s="26" t="inlineStr">
        <is>
          <t>INFO</t>
        </is>
      </c>
      <c r="I203" s="26" t="inlineStr">
        <is>
          <t>DB</t>
        </is>
      </c>
      <c r="J203" s="26" t="inlineStr">
        <is>
          <t>CO_F</t>
        </is>
      </c>
      <c r="K203" s="26" t="n"/>
      <c r="L203" s="26" t="inlineStr">
        <is>
          <t>/INFO/DB/CO_F</t>
        </is>
      </c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inlineStr">
        <is>
          <t>GET</t>
        </is>
      </c>
      <c r="W203" s="26" t="n"/>
      <c r="X203" s="26" t="n"/>
    </row>
    <row r="204">
      <c r="A204" s="26" t="n"/>
      <c r="B204" s="26" t="n"/>
      <c r="C204" s="26" t="inlineStr">
        <is>
          <t>Description</t>
        </is>
      </c>
      <c r="D204" s="26" t="inlineStr">
        <is>
          <t>Description</t>
        </is>
      </c>
      <c r="E204" s="26" t="inlineStr">
        <is>
          <t>Material Color</t>
        </is>
      </c>
      <c r="F204" s="26" t="n"/>
      <c r="G204" s="26" t="n"/>
      <c r="H204" s="26" t="inlineStr">
        <is>
          <t>INFO</t>
        </is>
      </c>
      <c r="I204" s="26" t="inlineStr">
        <is>
          <t>DB</t>
        </is>
      </c>
      <c r="J204" s="26" t="inlineStr">
        <is>
          <t>CO_M</t>
        </is>
      </c>
      <c r="K204" s="26" t="n"/>
      <c r="L204" s="26" t="inlineStr">
        <is>
          <t>/INFO/DB/CO_M</t>
        </is>
      </c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inlineStr">
        <is>
          <t>GET</t>
        </is>
      </c>
      <c r="W204" s="26" t="n"/>
      <c r="X204" s="26" t="n"/>
    </row>
    <row r="205">
      <c r="A205" s="26" t="n"/>
      <c r="B205" s="26" t="n"/>
      <c r="C205" s="26" t="inlineStr">
        <is>
          <t>Description</t>
        </is>
      </c>
      <c r="D205" s="26" t="inlineStr">
        <is>
          <t>Description</t>
        </is>
      </c>
      <c r="E205" s="26" t="inlineStr">
        <is>
          <t>Section Color</t>
        </is>
      </c>
      <c r="F205" s="26" t="n"/>
      <c r="G205" s="26" t="n"/>
      <c r="H205" s="26" t="inlineStr">
        <is>
          <t>INFO</t>
        </is>
      </c>
      <c r="I205" s="26" t="inlineStr">
        <is>
          <t>DB</t>
        </is>
      </c>
      <c r="J205" s="26" t="inlineStr">
        <is>
          <t>CO_S</t>
        </is>
      </c>
      <c r="K205" s="26" t="n"/>
      <c r="L205" s="26" t="inlineStr">
        <is>
          <t>/INFO/DB/CO_S</t>
        </is>
      </c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inlineStr">
        <is>
          <t>GET</t>
        </is>
      </c>
      <c r="W205" s="26" t="n"/>
      <c r="X205" s="26" t="n"/>
    </row>
    <row r="206">
      <c r="A206" s="26" t="n"/>
      <c r="B206" s="26" t="n"/>
      <c r="C206" s="26" t="inlineStr">
        <is>
          <t>Description</t>
        </is>
      </c>
      <c r="D206" s="26" t="inlineStr">
        <is>
          <t>Description</t>
        </is>
      </c>
      <c r="E206" s="26" t="inlineStr">
        <is>
          <t>Thickness Color</t>
        </is>
      </c>
      <c r="F206" s="26" t="n"/>
      <c r="G206" s="26" t="n"/>
      <c r="H206" s="26" t="inlineStr">
        <is>
          <t>INFO</t>
        </is>
      </c>
      <c r="I206" s="26" t="inlineStr">
        <is>
          <t>DB</t>
        </is>
      </c>
      <c r="J206" s="26" t="inlineStr">
        <is>
          <t>CO_T</t>
        </is>
      </c>
      <c r="K206" s="26" t="n"/>
      <c r="L206" s="26" t="inlineStr">
        <is>
          <t>/INFO/DB/CO_T</t>
        </is>
      </c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inlineStr">
        <is>
          <t>GET</t>
        </is>
      </c>
      <c r="W206" s="26" t="n"/>
      <c r="X206" s="26" t="n"/>
    </row>
    <row r="207">
      <c r="A207" s="26" t="n"/>
      <c r="B207" s="26" t="n"/>
      <c r="C207" s="26" t="inlineStr">
        <is>
          <t>Description</t>
        </is>
      </c>
      <c r="D207" s="26" t="inlineStr">
        <is>
          <t>Description</t>
        </is>
      </c>
      <c r="E207" s="26" t="inlineStr">
        <is>
          <t>Concurrent Reaction Group</t>
        </is>
      </c>
      <c r="F207" s="26" t="n"/>
      <c r="G207" s="26" t="n"/>
      <c r="H207" s="26" t="inlineStr">
        <is>
          <t>INFO</t>
        </is>
      </c>
      <c r="I207" s="26" t="inlineStr">
        <is>
          <t>DB</t>
        </is>
      </c>
      <c r="J207" s="26" t="inlineStr">
        <is>
          <t>CRGR</t>
        </is>
      </c>
      <c r="K207" s="26" t="n"/>
      <c r="L207" s="26" t="inlineStr">
        <is>
          <t>/INFO/DB/CRGR</t>
        </is>
      </c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inlineStr">
        <is>
          <t>GET</t>
        </is>
      </c>
      <c r="W207" s="26" t="n"/>
      <c r="X207" s="26" t="n"/>
    </row>
    <row r="208">
      <c r="A208" s="26" t="n"/>
      <c r="B208" s="26" t="n"/>
      <c r="C208" s="26" t="inlineStr">
        <is>
          <t>Description</t>
        </is>
      </c>
      <c r="D208" s="26" t="inlineStr">
        <is>
          <t>Description</t>
        </is>
      </c>
      <c r="E208" s="26" t="inlineStr">
        <is>
          <t>Creep Coefficient for Construction Stage</t>
        </is>
      </c>
      <c r="F208" s="26" t="n"/>
      <c r="G208" s="26" t="n"/>
      <c r="H208" s="26" t="inlineStr">
        <is>
          <t>INFO</t>
        </is>
      </c>
      <c r="I208" s="26" t="inlineStr">
        <is>
          <t>DB</t>
        </is>
      </c>
      <c r="J208" s="26" t="inlineStr">
        <is>
          <t>CRPC</t>
        </is>
      </c>
      <c r="K208" s="26" t="n"/>
      <c r="L208" s="26" t="inlineStr">
        <is>
          <t>/INFO/DB/CRPC</t>
        </is>
      </c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inlineStr">
        <is>
          <t>GET</t>
        </is>
      </c>
      <c r="W208" s="26" t="n"/>
      <c r="X208" s="26" t="n"/>
    </row>
    <row r="209">
      <c r="A209" s="26" t="n"/>
      <c r="B209" s="26" t="n"/>
      <c r="C209" s="26" t="inlineStr">
        <is>
          <t>Description</t>
        </is>
      </c>
      <c r="D209" s="26" t="inlineStr">
        <is>
          <t>Description</t>
        </is>
      </c>
      <c r="E209" s="26" t="inlineStr">
        <is>
          <t>Composite Section for Construction Stage</t>
        </is>
      </c>
      <c r="F209" s="26" t="n"/>
      <c r="G209" s="26" t="n"/>
      <c r="H209" s="26" t="inlineStr">
        <is>
          <t>INFO</t>
        </is>
      </c>
      <c r="I209" s="26" t="inlineStr">
        <is>
          <t>DB</t>
        </is>
      </c>
      <c r="J209" s="26" t="inlineStr">
        <is>
          <t>CSCS</t>
        </is>
      </c>
      <c r="K209" s="26" t="n"/>
      <c r="L209" s="26" t="inlineStr">
        <is>
          <t>/INFO/DB/CSCS</t>
        </is>
      </c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inlineStr">
        <is>
          <t>GET</t>
        </is>
      </c>
      <c r="W209" s="26" t="n"/>
      <c r="X209" s="26" t="n"/>
    </row>
    <row r="210">
      <c r="A210" s="26" t="n"/>
      <c r="B210" s="26" t="n"/>
      <c r="C210" s="26" t="inlineStr">
        <is>
          <t>Description</t>
        </is>
      </c>
      <c r="D210" s="26" t="inlineStr">
        <is>
          <t>Description</t>
        </is>
      </c>
      <c r="E210" s="26" t="inlineStr">
        <is>
          <t>Cutting Line</t>
        </is>
      </c>
      <c r="F210" s="26" t="n"/>
      <c r="G210" s="26" t="n"/>
      <c r="H210" s="26" t="inlineStr">
        <is>
          <t>INFO</t>
        </is>
      </c>
      <c r="I210" s="26" t="inlineStr">
        <is>
          <t>DB</t>
        </is>
      </c>
      <c r="J210" s="26" t="inlineStr">
        <is>
          <t>CUTL</t>
        </is>
      </c>
      <c r="K210" s="26" t="n"/>
      <c r="L210" s="26" t="inlineStr">
        <is>
          <t>/INFO/DB/CUTL</t>
        </is>
      </c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inlineStr">
        <is>
          <t>GET</t>
        </is>
      </c>
      <c r="W210" s="26" t="n"/>
      <c r="X210" s="26" t="n"/>
    </row>
    <row r="211">
      <c r="A211" s="26" t="n"/>
      <c r="B211" s="26" t="n"/>
      <c r="C211" s="26" t="inlineStr">
        <is>
          <t>Description</t>
        </is>
      </c>
      <c r="D211" s="26" t="inlineStr">
        <is>
          <t>Description</t>
        </is>
      </c>
      <c r="E211" s="26" t="inlineStr">
        <is>
          <t>RC Design Code</t>
        </is>
      </c>
      <c r="F211" s="26" t="n"/>
      <c r="G211" s="26" t="n"/>
      <c r="H211" s="26" t="inlineStr">
        <is>
          <t>INFO</t>
        </is>
      </c>
      <c r="I211" s="26" t="inlineStr">
        <is>
          <t>DB</t>
        </is>
      </c>
      <c r="J211" s="26" t="inlineStr">
        <is>
          <t>DCON</t>
        </is>
      </c>
      <c r="K211" s="26" t="n"/>
      <c r="L211" s="26" t="inlineStr">
        <is>
          <t>/INFO/DB/DCON</t>
        </is>
      </c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inlineStr">
        <is>
          <t>GET</t>
        </is>
      </c>
      <c r="W211" s="26" t="n"/>
      <c r="X211" s="26" t="n"/>
    </row>
    <row r="212">
      <c r="A212" s="26" t="n"/>
      <c r="B212" s="26" t="n"/>
      <c r="C212" s="26" t="inlineStr">
        <is>
          <t>Description</t>
        </is>
      </c>
      <c r="D212" s="26" t="inlineStr">
        <is>
          <t>Description</t>
        </is>
      </c>
      <c r="E212" s="26" t="inlineStr">
        <is>
          <t>Definition of Frame</t>
        </is>
      </c>
      <c r="F212" s="26" t="n"/>
      <c r="G212" s="26" t="n"/>
      <c r="H212" s="26" t="inlineStr">
        <is>
          <t>INFO</t>
        </is>
      </c>
      <c r="I212" s="26" t="inlineStr">
        <is>
          <t>DB</t>
        </is>
      </c>
      <c r="J212" s="26" t="inlineStr">
        <is>
          <t>DCTL</t>
        </is>
      </c>
      <c r="K212" s="26" t="n"/>
      <c r="L212" s="26" t="inlineStr">
        <is>
          <t>/INFO/DB/DCTL</t>
        </is>
      </c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inlineStr">
        <is>
          <t>GET</t>
        </is>
      </c>
      <c r="W212" s="26" t="n"/>
      <c r="X212" s="26" t="n"/>
    </row>
    <row r="213">
      <c r="A213" s="26" t="n"/>
      <c r="B213" s="26" t="n"/>
      <c r="C213" s="26" t="inlineStr">
        <is>
          <t>Description</t>
        </is>
      </c>
      <c r="D213" s="26" t="inlineStr">
        <is>
          <t>Description</t>
        </is>
      </c>
      <c r="E213" s="26" t="inlineStr">
        <is>
          <t>Domain-Element</t>
        </is>
      </c>
      <c r="F213" s="26" t="n"/>
      <c r="G213" s="26" t="n"/>
      <c r="H213" s="26" t="inlineStr">
        <is>
          <t>INFO</t>
        </is>
      </c>
      <c r="I213" s="26" t="inlineStr">
        <is>
          <t>DB</t>
        </is>
      </c>
      <c r="J213" s="26" t="inlineStr">
        <is>
          <t>DOEL</t>
        </is>
      </c>
      <c r="K213" s="26" t="n"/>
      <c r="L213" s="26" t="inlineStr">
        <is>
          <t>/INFO/DB/DOEL</t>
        </is>
      </c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inlineStr">
        <is>
          <t>GET</t>
        </is>
      </c>
      <c r="W213" s="26" t="n"/>
      <c r="X213" s="26" t="n"/>
    </row>
    <row r="214">
      <c r="A214" s="26" t="n"/>
      <c r="B214" s="26" t="n"/>
      <c r="C214" s="26" t="inlineStr">
        <is>
          <t>Description</t>
        </is>
      </c>
      <c r="D214" s="26" t="inlineStr">
        <is>
          <t>Description</t>
        </is>
      </c>
      <c r="E214" s="26" t="inlineStr">
        <is>
          <t>Design Steel Code</t>
        </is>
      </c>
      <c r="F214" s="26" t="n"/>
      <c r="G214" s="26" t="n"/>
      <c r="H214" s="26" t="inlineStr">
        <is>
          <t>INFO</t>
        </is>
      </c>
      <c r="I214" s="26" t="inlineStr">
        <is>
          <t>DB</t>
        </is>
      </c>
      <c r="J214" s="26" t="inlineStr">
        <is>
          <t>DSTL</t>
        </is>
      </c>
      <c r="K214" s="26" t="n"/>
      <c r="L214" s="26" t="inlineStr">
        <is>
          <t>/INFO/DB/DSTL</t>
        </is>
      </c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inlineStr">
        <is>
          <t>GET</t>
        </is>
      </c>
      <c r="W214" s="26" t="n"/>
      <c r="X214" s="26" t="n"/>
    </row>
    <row r="215">
      <c r="A215" s="26" t="n"/>
      <c r="B215" s="26" t="n"/>
      <c r="C215" s="26" t="inlineStr">
        <is>
          <t>Description</t>
        </is>
      </c>
      <c r="D215" s="26" t="inlineStr">
        <is>
          <t>Description</t>
        </is>
      </c>
      <c r="E215" s="26" t="inlineStr">
        <is>
          <t>Railway Dynamic Factor</t>
        </is>
      </c>
      <c r="F215" s="26" t="n"/>
      <c r="G215" s="26" t="n"/>
      <c r="H215" s="26" t="inlineStr">
        <is>
          <t>INFO</t>
        </is>
      </c>
      <c r="I215" s="26" t="inlineStr">
        <is>
          <t>DB</t>
        </is>
      </c>
      <c r="J215" s="26" t="inlineStr">
        <is>
          <t>DYFG</t>
        </is>
      </c>
      <c r="K215" s="26" t="n"/>
      <c r="L215" s="26" t="inlineStr">
        <is>
          <t>/INFO/DB/DYFG</t>
        </is>
      </c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inlineStr">
        <is>
          <t>GET</t>
        </is>
      </c>
      <c r="W215" s="26" t="n"/>
      <c r="X215" s="26" t="n"/>
    </row>
    <row r="216">
      <c r="A216" s="26" t="n"/>
      <c r="B216" s="26" t="n"/>
      <c r="C216" s="26" t="inlineStr">
        <is>
          <t>Description</t>
        </is>
      </c>
      <c r="D216" s="26" t="inlineStr">
        <is>
          <t>Description</t>
        </is>
      </c>
      <c r="E216" s="26" t="inlineStr">
        <is>
          <t>Dynamic Load Allowance</t>
        </is>
      </c>
      <c r="F216" s="26" t="n"/>
      <c r="G216" s="26" t="n"/>
      <c r="H216" s="26" t="inlineStr">
        <is>
          <t>INFO</t>
        </is>
      </c>
      <c r="I216" s="26" t="inlineStr">
        <is>
          <t>DB</t>
        </is>
      </c>
      <c r="J216" s="26" t="inlineStr">
        <is>
          <t>DYLA</t>
        </is>
      </c>
      <c r="K216" s="26" t="n"/>
      <c r="L216" s="26" t="inlineStr">
        <is>
          <t>/INFO/DB/DYLA</t>
        </is>
      </c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inlineStr">
        <is>
          <t>GET</t>
        </is>
      </c>
      <c r="W216" s="26" t="n"/>
      <c r="X216" s="26" t="n"/>
    </row>
    <row r="217">
      <c r="A217" s="26" t="n"/>
      <c r="B217" s="26" t="n"/>
      <c r="C217" s="26" t="inlineStr">
        <is>
          <t>Description</t>
        </is>
      </c>
      <c r="D217" s="26" t="inlineStr">
        <is>
          <t>Description</t>
        </is>
      </c>
      <c r="E217" s="26" t="inlineStr">
        <is>
          <t>Railway Dynamic Factor by Element</t>
        </is>
      </c>
      <c r="F217" s="26" t="n"/>
      <c r="G217" s="26" t="n"/>
      <c r="H217" s="26" t="inlineStr">
        <is>
          <t>INFO</t>
        </is>
      </c>
      <c r="I217" s="26" t="inlineStr">
        <is>
          <t>DB</t>
        </is>
      </c>
      <c r="J217" s="26" t="inlineStr">
        <is>
          <t>DYNF</t>
        </is>
      </c>
      <c r="K217" s="26" t="n"/>
      <c r="L217" s="26" t="inlineStr">
        <is>
          <t>/INFO/DB/DYNF</t>
        </is>
      </c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inlineStr">
        <is>
          <t>GET</t>
        </is>
      </c>
      <c r="W217" s="26" t="n"/>
      <c r="X217" s="26" t="n"/>
    </row>
    <row r="218">
      <c r="A218" s="26" t="n"/>
      <c r="B218" s="26" t="n"/>
      <c r="C218" s="26" t="inlineStr">
        <is>
          <t>Description</t>
        </is>
      </c>
      <c r="D218" s="26" t="inlineStr">
        <is>
          <t>Description</t>
        </is>
      </c>
      <c r="E218" s="26" t="n"/>
      <c r="F218" s="26" t="n"/>
      <c r="G218" s="26" t="n"/>
      <c r="H218" s="26" t="inlineStr">
        <is>
          <t>INFO</t>
        </is>
      </c>
      <c r="I218" s="26" t="inlineStr">
        <is>
          <t>DB</t>
        </is>
      </c>
      <c r="J218" s="26" t="inlineStr">
        <is>
          <t>EARE</t>
        </is>
      </c>
      <c r="K218" s="26" t="n"/>
      <c r="L218" s="26" t="inlineStr">
        <is>
          <t>/INFO/DB/EARE</t>
        </is>
      </c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inlineStr">
        <is>
          <t>GET</t>
        </is>
      </c>
      <c r="W218" s="26" t="n"/>
      <c r="X218" s="26" t="n"/>
    </row>
    <row r="219">
      <c r="A219" s="26" t="n"/>
      <c r="B219" s="26" t="n"/>
      <c r="C219" s="26" t="inlineStr">
        <is>
          <t>Description</t>
        </is>
      </c>
      <c r="D219" s="26" t="inlineStr">
        <is>
          <t>Description</t>
        </is>
      </c>
      <c r="E219" s="26" t="inlineStr">
        <is>
          <t>Change Property</t>
        </is>
      </c>
      <c r="F219" s="26" t="n"/>
      <c r="G219" s="26" t="n"/>
      <c r="H219" s="26" t="inlineStr">
        <is>
          <t>INFO</t>
        </is>
      </c>
      <c r="I219" s="26" t="inlineStr">
        <is>
          <t>DB</t>
        </is>
      </c>
      <c r="J219" s="26" t="inlineStr">
        <is>
          <t>EDMP</t>
        </is>
      </c>
      <c r="K219" s="26" t="n"/>
      <c r="L219" s="26" t="inlineStr">
        <is>
          <t>/INFO/DB/EDMP</t>
        </is>
      </c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inlineStr">
        <is>
          <t>GET</t>
        </is>
      </c>
      <c r="W219" s="26" t="n"/>
      <c r="X219" s="26" t="n"/>
    </row>
    <row r="220">
      <c r="A220" s="26" t="n"/>
      <c r="B220" s="26" t="n"/>
      <c r="C220" s="26" t="inlineStr">
        <is>
          <t>Description</t>
        </is>
      </c>
      <c r="D220" s="26" t="inlineStr">
        <is>
          <t>Description</t>
        </is>
      </c>
      <c r="E220" s="26" t="inlineStr">
        <is>
          <t>Small Displacement - Initial Force Control Data</t>
        </is>
      </c>
      <c r="F220" s="26" t="n"/>
      <c r="G220" s="26" t="n"/>
      <c r="H220" s="26" t="inlineStr">
        <is>
          <t>INFO</t>
        </is>
      </c>
      <c r="I220" s="26" t="inlineStr">
        <is>
          <t>DB</t>
        </is>
      </c>
      <c r="J220" s="26" t="inlineStr">
        <is>
          <t>EFCT</t>
        </is>
      </c>
      <c r="K220" s="26" t="n"/>
      <c r="L220" s="26" t="inlineStr">
        <is>
          <t>/INFO/DB/EFCT</t>
        </is>
      </c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inlineStr">
        <is>
          <t>GET</t>
        </is>
      </c>
      <c r="W220" s="26" t="n"/>
      <c r="X220" s="26" t="n"/>
    </row>
    <row r="221">
      <c r="A221" s="26" t="n"/>
      <c r="B221" s="26" t="n"/>
      <c r="C221" s="26" t="inlineStr">
        <is>
          <t>Description</t>
        </is>
      </c>
      <c r="D221" s="26" t="inlineStr">
        <is>
          <t>Description</t>
        </is>
      </c>
      <c r="E221" s="26" t="inlineStr">
        <is>
          <t>Eigenvalue Analysis Control</t>
        </is>
      </c>
      <c r="F221" s="26" t="n"/>
      <c r="G221" s="26" t="n"/>
      <c r="H221" s="26" t="inlineStr">
        <is>
          <t>INFO</t>
        </is>
      </c>
      <c r="I221" s="26" t="inlineStr">
        <is>
          <t>DB</t>
        </is>
      </c>
      <c r="J221" s="26" t="inlineStr">
        <is>
          <t>EIGV</t>
        </is>
      </c>
      <c r="K221" s="26" t="n"/>
      <c r="L221" s="26" t="inlineStr">
        <is>
          <t>/INFO/DB/EIGV</t>
        </is>
      </c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inlineStr">
        <is>
          <t>GET</t>
        </is>
      </c>
      <c r="W221" s="26" t="n"/>
      <c r="X221" s="26" t="n"/>
    </row>
    <row r="222">
      <c r="A222" s="26" t="n"/>
      <c r="B222" s="26" t="n"/>
      <c r="C222" s="26" t="inlineStr">
        <is>
          <t>Description</t>
        </is>
      </c>
      <c r="D222" s="26" t="inlineStr">
        <is>
          <t>Description</t>
        </is>
      </c>
      <c r="E222" s="26" t="inlineStr">
        <is>
          <t>Element</t>
        </is>
      </c>
      <c r="F222" s="26" t="n"/>
      <c r="G222" s="26" t="n"/>
      <c r="H222" s="26" t="inlineStr">
        <is>
          <t>INFO</t>
        </is>
      </c>
      <c r="I222" s="26" t="inlineStr">
        <is>
          <t>DB</t>
        </is>
      </c>
      <c r="J222" s="26" t="inlineStr">
        <is>
          <t>ELEM</t>
        </is>
      </c>
      <c r="K222" s="26" t="n"/>
      <c r="L222" s="26" t="inlineStr">
        <is>
          <t>/INFO/DB/ELEM</t>
        </is>
      </c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inlineStr">
        <is>
          <t>GET</t>
        </is>
      </c>
      <c r="W222" s="26" t="n"/>
      <c r="X222" s="26" t="n"/>
    </row>
    <row r="223">
      <c r="A223" s="26" t="n"/>
      <c r="B223" s="26" t="n"/>
      <c r="C223" s="26" t="inlineStr">
        <is>
          <t>Description</t>
        </is>
      </c>
      <c r="D223" s="26" t="inlineStr">
        <is>
          <t>Description</t>
        </is>
      </c>
      <c r="E223" s="26" t="inlineStr">
        <is>
          <t>Elastic Link</t>
        </is>
      </c>
      <c r="F223" s="26" t="n"/>
      <c r="G223" s="26" t="n"/>
      <c r="H223" s="26" t="inlineStr">
        <is>
          <t>INFO</t>
        </is>
      </c>
      <c r="I223" s="26" t="inlineStr">
        <is>
          <t>DB</t>
        </is>
      </c>
      <c r="J223" s="26" t="inlineStr">
        <is>
          <t>ELNK</t>
        </is>
      </c>
      <c r="K223" s="26" t="n"/>
      <c r="L223" s="26" t="inlineStr">
        <is>
          <t>/INFO/DB/ELNK</t>
        </is>
      </c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inlineStr">
        <is>
          <t>GET</t>
        </is>
      </c>
      <c r="W223" s="26" t="n"/>
      <c r="X223" s="26" t="n"/>
    </row>
    <row r="224">
      <c r="A224" s="26" t="n"/>
      <c r="B224" s="26" t="n"/>
      <c r="C224" s="26" t="inlineStr">
        <is>
          <t>Description</t>
        </is>
      </c>
      <c r="D224" s="26" t="inlineStr">
        <is>
          <t>Description</t>
        </is>
      </c>
      <c r="E224" s="26" t="inlineStr">
        <is>
          <t>Plastic Material</t>
        </is>
      </c>
      <c r="F224" s="26" t="n"/>
      <c r="G224" s="26" t="n"/>
      <c r="H224" s="26" t="inlineStr">
        <is>
          <t>INFO</t>
        </is>
      </c>
      <c r="I224" s="26" t="inlineStr">
        <is>
          <t>DB</t>
        </is>
      </c>
      <c r="J224" s="26" t="inlineStr">
        <is>
          <t>EPMT</t>
        </is>
      </c>
      <c r="K224" s="26" t="n"/>
      <c r="L224" s="26" t="inlineStr">
        <is>
          <t>/INFO/DB/EPMT</t>
        </is>
      </c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inlineStr">
        <is>
          <t>GET</t>
        </is>
      </c>
      <c r="W224" s="26" t="n"/>
      <c r="X224" s="26" t="n"/>
    </row>
    <row r="225">
      <c r="A225" s="26" t="n"/>
      <c r="B225" s="26" t="n"/>
      <c r="C225" s="26" t="inlineStr">
        <is>
          <t>Description</t>
        </is>
      </c>
      <c r="D225" s="26" t="inlineStr">
        <is>
          <t>Description</t>
        </is>
      </c>
      <c r="E225" s="26" t="n"/>
      <c r="F225" s="26" t="n"/>
      <c r="G225" s="26" t="n"/>
      <c r="H225" s="26" t="inlineStr">
        <is>
          <t>INFO</t>
        </is>
      </c>
      <c r="I225" s="26" t="inlineStr">
        <is>
          <t>DB</t>
        </is>
      </c>
      <c r="J225" s="26" t="inlineStr">
        <is>
          <t>EPSE</t>
        </is>
      </c>
      <c r="K225" s="26" t="n"/>
      <c r="L225" s="26" t="inlineStr">
        <is>
          <t>/INFO/DB/EPSE</t>
        </is>
      </c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inlineStr">
        <is>
          <t>GET</t>
        </is>
      </c>
      <c r="W225" s="26" t="n"/>
      <c r="X225" s="26" t="n"/>
    </row>
    <row r="226">
      <c r="A226" s="26" t="n"/>
      <c r="B226" s="26" t="n"/>
      <c r="C226" s="26" t="inlineStr">
        <is>
          <t>Description</t>
        </is>
      </c>
      <c r="D226" s="26" t="inlineStr">
        <is>
          <t>Description</t>
        </is>
      </c>
      <c r="E226" s="26" t="n"/>
      <c r="F226" s="26" t="n"/>
      <c r="G226" s="26" t="n"/>
      <c r="H226" s="26" t="inlineStr">
        <is>
          <t>INFO</t>
        </is>
      </c>
      <c r="I226" s="26" t="inlineStr">
        <is>
          <t>DB</t>
        </is>
      </c>
      <c r="J226" s="26" t="inlineStr">
        <is>
          <t>EQMF</t>
        </is>
      </c>
      <c r="K226" s="26" t="n"/>
      <c r="L226" s="26" t="inlineStr">
        <is>
          <t>/INFO/DB/EQMF</t>
        </is>
      </c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inlineStr">
        <is>
          <t>GET</t>
        </is>
      </c>
      <c r="W226" s="26" t="n"/>
      <c r="X226" s="26" t="n"/>
    </row>
    <row r="227">
      <c r="A227" s="26" t="n"/>
      <c r="B227" s="26" t="n"/>
      <c r="C227" s="26" t="inlineStr">
        <is>
          <t>Description</t>
        </is>
      </c>
      <c r="D227" s="26" t="inlineStr">
        <is>
          <t>Description</t>
        </is>
      </c>
      <c r="E227" s="26" t="inlineStr">
        <is>
          <t>Element Stiffness Scale Factor</t>
        </is>
      </c>
      <c r="F227" s="26" t="n"/>
      <c r="G227" s="26" t="n"/>
      <c r="H227" s="26" t="inlineStr">
        <is>
          <t>INFO</t>
        </is>
      </c>
      <c r="I227" s="26" t="inlineStr">
        <is>
          <t>DB</t>
        </is>
      </c>
      <c r="J227" s="26" t="inlineStr">
        <is>
          <t>ESSF</t>
        </is>
      </c>
      <c r="K227" s="26" t="n"/>
      <c r="L227" s="26" t="inlineStr">
        <is>
          <t>/INFO/DB/ESSF</t>
        </is>
      </c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inlineStr">
        <is>
          <t>GET</t>
        </is>
      </c>
      <c r="W227" s="26" t="n"/>
      <c r="X227" s="26" t="n"/>
    </row>
    <row r="228">
      <c r="A228" s="26" t="n"/>
      <c r="B228" s="26" t="n"/>
      <c r="C228" s="26" t="inlineStr">
        <is>
          <t>Description</t>
        </is>
      </c>
      <c r="D228" s="26" t="inlineStr">
        <is>
          <t>Description</t>
        </is>
      </c>
      <c r="E228" s="26" t="inlineStr">
        <is>
          <t>Ambient Temperature Functions</t>
        </is>
      </c>
      <c r="F228" s="26" t="n"/>
      <c r="G228" s="26" t="n"/>
      <c r="H228" s="26" t="inlineStr">
        <is>
          <t>INFO</t>
        </is>
      </c>
      <c r="I228" s="26" t="inlineStr">
        <is>
          <t>DB</t>
        </is>
      </c>
      <c r="J228" s="26" t="inlineStr">
        <is>
          <t>ETFC</t>
        </is>
      </c>
      <c r="K228" s="26" t="n"/>
      <c r="L228" s="26" t="inlineStr">
        <is>
          <t>/INFO/DB/ETFC</t>
        </is>
      </c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inlineStr">
        <is>
          <t>GET</t>
        </is>
      </c>
      <c r="W228" s="26" t="n"/>
      <c r="X228" s="26" t="n"/>
    </row>
    <row r="229">
      <c r="A229" s="26" t="n"/>
      <c r="B229" s="26" t="n"/>
      <c r="C229" s="26" t="inlineStr">
        <is>
          <t>Description</t>
        </is>
      </c>
      <c r="D229" s="26" t="inlineStr">
        <is>
          <t>Description</t>
        </is>
      </c>
      <c r="E229" s="26" t="inlineStr">
        <is>
          <t>Element Temperature</t>
        </is>
      </c>
      <c r="F229" s="26" t="n"/>
      <c r="G229" s="26" t="n"/>
      <c r="H229" s="26" t="inlineStr">
        <is>
          <t>INFO</t>
        </is>
      </c>
      <c r="I229" s="26" t="inlineStr">
        <is>
          <t>DB</t>
        </is>
      </c>
      <c r="J229" s="26" t="inlineStr">
        <is>
          <t>ETMP</t>
        </is>
      </c>
      <c r="K229" s="26" t="n"/>
      <c r="L229" s="26" t="inlineStr">
        <is>
          <t>/INFO/DB/ETMP</t>
        </is>
      </c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inlineStr">
        <is>
          <t>GET</t>
        </is>
      </c>
      <c r="W229" s="26" t="n"/>
      <c r="X229" s="26" t="n"/>
    </row>
    <row r="230">
      <c r="A230" s="26" t="n"/>
      <c r="B230" s="26" t="n"/>
      <c r="C230" s="26" t="inlineStr">
        <is>
          <t>Description</t>
        </is>
      </c>
      <c r="D230" s="26" t="inlineStr">
        <is>
          <t>Description</t>
        </is>
      </c>
      <c r="E230" s="26" t="inlineStr">
        <is>
          <t>Effective Width Scale Factor</t>
        </is>
      </c>
      <c r="F230" s="26" t="n"/>
      <c r="G230" s="26" t="n"/>
      <c r="H230" s="26" t="inlineStr">
        <is>
          <t>INFO</t>
        </is>
      </c>
      <c r="I230" s="26" t="inlineStr">
        <is>
          <t>DB</t>
        </is>
      </c>
      <c r="J230" s="26" t="inlineStr">
        <is>
          <t>EWSF</t>
        </is>
      </c>
      <c r="K230" s="26" t="n"/>
      <c r="L230" s="26" t="inlineStr">
        <is>
          <t>/INFO/DB/EWSF</t>
        </is>
      </c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inlineStr">
        <is>
          <t>GET</t>
        </is>
      </c>
      <c r="W230" s="26" t="n"/>
      <c r="X230" s="26" t="n"/>
    </row>
    <row r="231">
      <c r="A231" s="26" t="n"/>
      <c r="B231" s="26" t="n"/>
      <c r="C231" s="26" t="inlineStr">
        <is>
          <t>Description</t>
        </is>
      </c>
      <c r="D231" s="26" t="inlineStr">
        <is>
          <t>Description</t>
        </is>
      </c>
      <c r="E231" s="26" t="inlineStr">
        <is>
          <t>External Type Load Case for Pretension</t>
        </is>
      </c>
      <c r="F231" s="26" t="n"/>
      <c r="G231" s="26" t="n"/>
      <c r="H231" s="26" t="inlineStr">
        <is>
          <t>INFO</t>
        </is>
      </c>
      <c r="I231" s="26" t="inlineStr">
        <is>
          <t>DB</t>
        </is>
      </c>
      <c r="J231" s="26" t="inlineStr">
        <is>
          <t>EXLD</t>
        </is>
      </c>
      <c r="K231" s="26" t="n"/>
      <c r="L231" s="26" t="inlineStr">
        <is>
          <t>/INFO/DB/EXLD</t>
        </is>
      </c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inlineStr">
        <is>
          <t>GET</t>
        </is>
      </c>
      <c r="W231" s="26" t="n"/>
      <c r="X231" s="26" t="n"/>
    </row>
    <row r="232">
      <c r="A232" s="26" t="n"/>
      <c r="B232" s="26" t="n"/>
      <c r="C232" s="26" t="inlineStr">
        <is>
          <t>Description</t>
        </is>
      </c>
      <c r="D232" s="26" t="inlineStr">
        <is>
          <t>Description</t>
        </is>
      </c>
      <c r="E232" s="26" t="inlineStr">
        <is>
          <t>Assign Floor Loads</t>
        </is>
      </c>
      <c r="F232" s="26" t="n"/>
      <c r="G232" s="26" t="n"/>
      <c r="H232" s="26" t="inlineStr">
        <is>
          <t>INFO</t>
        </is>
      </c>
      <c r="I232" s="26" t="inlineStr">
        <is>
          <t>DB</t>
        </is>
      </c>
      <c r="J232" s="26" t="inlineStr">
        <is>
          <t>FBLA</t>
        </is>
      </c>
      <c r="K232" s="26" t="n"/>
      <c r="L232" s="26" t="inlineStr">
        <is>
          <t>/INFO/DB/FBLA</t>
        </is>
      </c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inlineStr">
        <is>
          <t>GET</t>
        </is>
      </c>
      <c r="W232" s="26" t="n"/>
      <c r="X232" s="26" t="n"/>
    </row>
    <row r="233">
      <c r="A233" s="26" t="n"/>
      <c r="B233" s="26" t="n"/>
      <c r="C233" s="26" t="inlineStr">
        <is>
          <t>Description</t>
        </is>
      </c>
      <c r="D233" s="26" t="inlineStr">
        <is>
          <t>Description</t>
        </is>
      </c>
      <c r="E233" s="26" t="inlineStr">
        <is>
          <t>Define Floor Load Type</t>
        </is>
      </c>
      <c r="F233" s="26" t="n"/>
      <c r="G233" s="26" t="n"/>
      <c r="H233" s="26" t="inlineStr">
        <is>
          <t>INFO</t>
        </is>
      </c>
      <c r="I233" s="26" t="inlineStr">
        <is>
          <t>DB</t>
        </is>
      </c>
      <c r="J233" s="26" t="inlineStr">
        <is>
          <t>FBLD</t>
        </is>
      </c>
      <c r="K233" s="26" t="n"/>
      <c r="L233" s="26" t="inlineStr">
        <is>
          <t>/INFO/DB/FBLD</t>
        </is>
      </c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inlineStr">
        <is>
          <t>GET</t>
        </is>
      </c>
      <c r="W233" s="26" t="n"/>
      <c r="X233" s="26" t="n"/>
    </row>
    <row r="234">
      <c r="A234" s="26" t="n"/>
      <c r="B234" s="26" t="n"/>
      <c r="C234" s="26" t="inlineStr">
        <is>
          <t>Description</t>
        </is>
      </c>
      <c r="D234" s="26" t="inlineStr">
        <is>
          <t>Description</t>
        </is>
      </c>
      <c r="E234" s="26" t="inlineStr">
        <is>
          <t>Fiber Division of Section</t>
        </is>
      </c>
      <c r="F234" s="26" t="n"/>
      <c r="G234" s="26" t="n"/>
      <c r="H234" s="26" t="inlineStr">
        <is>
          <t>INFO</t>
        </is>
      </c>
      <c r="I234" s="26" t="inlineStr">
        <is>
          <t>DB</t>
        </is>
      </c>
      <c r="J234" s="26" t="inlineStr">
        <is>
          <t>FIBR</t>
        </is>
      </c>
      <c r="K234" s="26" t="n"/>
      <c r="L234" s="26" t="inlineStr">
        <is>
          <t>/INFO/DB/FIBR</t>
        </is>
      </c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inlineStr">
        <is>
          <t>GET</t>
        </is>
      </c>
      <c r="W234" s="26" t="n"/>
      <c r="X234" s="26" t="n"/>
    </row>
    <row r="235">
      <c r="A235" s="26" t="n"/>
      <c r="B235" s="26" t="n"/>
      <c r="C235" s="26" t="inlineStr">
        <is>
          <t>Description</t>
        </is>
      </c>
      <c r="D235" s="26" t="inlineStr">
        <is>
          <t>Description</t>
        </is>
      </c>
      <c r="E235" s="26" t="inlineStr">
        <is>
          <t>Inelastic Material Properties</t>
        </is>
      </c>
      <c r="F235" s="26" t="n"/>
      <c r="G235" s="26" t="n"/>
      <c r="H235" s="26" t="inlineStr">
        <is>
          <t>INFO</t>
        </is>
      </c>
      <c r="I235" s="26" t="inlineStr">
        <is>
          <t>DB</t>
        </is>
      </c>
      <c r="J235" s="26" t="inlineStr">
        <is>
          <t>FIMP</t>
        </is>
      </c>
      <c r="K235" s="26" t="n"/>
      <c r="L235" s="26" t="inlineStr">
        <is>
          <t>/INFO/DB/FIMP</t>
        </is>
      </c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inlineStr">
        <is>
          <t>GET</t>
        </is>
      </c>
      <c r="W235" s="26" t="n"/>
      <c r="X235" s="26" t="n"/>
    </row>
    <row r="236">
      <c r="A236" s="26" t="n"/>
      <c r="B236" s="26" t="n"/>
      <c r="C236" s="26" t="inlineStr">
        <is>
          <t>Description</t>
        </is>
      </c>
      <c r="D236" s="26" t="inlineStr">
        <is>
          <t>Description</t>
        </is>
      </c>
      <c r="E236" s="26" t="inlineStr">
        <is>
          <t>Finishing Material Loads</t>
        </is>
      </c>
      <c r="F236" s="26" t="n"/>
      <c r="G236" s="26" t="n"/>
      <c r="H236" s="26" t="inlineStr">
        <is>
          <t>INFO</t>
        </is>
      </c>
      <c r="I236" s="26" t="inlineStr">
        <is>
          <t>DB</t>
        </is>
      </c>
      <c r="J236" s="26" t="inlineStr">
        <is>
          <t>FMLD</t>
        </is>
      </c>
      <c r="K236" s="26" t="n"/>
      <c r="L236" s="26" t="inlineStr">
        <is>
          <t>/INFO/DB/FMLD</t>
        </is>
      </c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inlineStr">
        <is>
          <t>GET</t>
        </is>
      </c>
      <c r="W236" s="26" t="n"/>
      <c r="X236" s="26" t="n"/>
    </row>
    <row r="237">
      <c r="A237" s="26" t="n"/>
      <c r="B237" s="26" t="n"/>
      <c r="C237" s="26" t="inlineStr">
        <is>
          <t>Description</t>
        </is>
      </c>
      <c r="D237" s="26" t="inlineStr">
        <is>
          <t>Description</t>
        </is>
      </c>
      <c r="E237" s="26" t="inlineStr">
        <is>
          <t>Beam End Release</t>
        </is>
      </c>
      <c r="F237" s="26" t="n"/>
      <c r="G237" s="26" t="n"/>
      <c r="H237" s="26" t="inlineStr">
        <is>
          <t>INFO</t>
        </is>
      </c>
      <c r="I237" s="26" t="inlineStr">
        <is>
          <t>DB</t>
        </is>
      </c>
      <c r="J237" s="26" t="inlineStr">
        <is>
          <t>FRLS</t>
        </is>
      </c>
      <c r="K237" s="26" t="n"/>
      <c r="L237" s="26" t="inlineStr">
        <is>
          <t>/INFO/DB/FRLS</t>
        </is>
      </c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inlineStr">
        <is>
          <t>GET</t>
        </is>
      </c>
      <c r="W237" s="26" t="n"/>
      <c r="X237" s="26" t="n"/>
    </row>
    <row r="238">
      <c r="A238" s="26" t="n"/>
      <c r="B238" s="26" t="n"/>
      <c r="C238" s="26" t="inlineStr">
        <is>
          <t>Description</t>
        </is>
      </c>
      <c r="D238" s="26" t="inlineStr">
        <is>
          <t>Description</t>
        </is>
      </c>
      <c r="E238" s="26" t="inlineStr">
        <is>
          <t>Grid Analysis Load</t>
        </is>
      </c>
      <c r="F238" s="26" t="n"/>
      <c r="G238" s="26" t="n"/>
      <c r="H238" s="26" t="inlineStr">
        <is>
          <t>INFO</t>
        </is>
      </c>
      <c r="I238" s="26" t="inlineStr">
        <is>
          <t>DB</t>
        </is>
      </c>
      <c r="J238" s="26" t="inlineStr">
        <is>
          <t>GALD</t>
        </is>
      </c>
      <c r="K238" s="26" t="n"/>
      <c r="L238" s="26" t="inlineStr">
        <is>
          <t>/INFO/DB/GALD</t>
        </is>
      </c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inlineStr">
        <is>
          <t>GET</t>
        </is>
      </c>
      <c r="W238" s="26" t="n"/>
      <c r="X238" s="26" t="n"/>
    </row>
    <row r="239">
      <c r="A239" s="26" t="n"/>
      <c r="B239" s="26" t="n"/>
      <c r="C239" s="26" t="inlineStr">
        <is>
          <t>Description</t>
        </is>
      </c>
      <c r="D239" s="26" t="inlineStr">
        <is>
          <t>Description</t>
        </is>
      </c>
      <c r="E239" s="26" t="inlineStr">
        <is>
          <t>General Camber Control</t>
        </is>
      </c>
      <c r="F239" s="26" t="n"/>
      <c r="G239" s="26" t="n"/>
      <c r="H239" s="26" t="inlineStr">
        <is>
          <t>INFO</t>
        </is>
      </c>
      <c r="I239" s="26" t="inlineStr">
        <is>
          <t>DB</t>
        </is>
      </c>
      <c r="J239" s="26" t="inlineStr">
        <is>
          <t>GCMB</t>
        </is>
      </c>
      <c r="K239" s="26" t="n"/>
      <c r="L239" s="26" t="inlineStr">
        <is>
          <t>/INFO/DB/GCMB</t>
        </is>
      </c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inlineStr">
        <is>
          <t>GET</t>
        </is>
      </c>
      <c r="W239" s="26" t="n"/>
      <c r="X239" s="26" t="n"/>
    </row>
    <row r="240">
      <c r="A240" s="26" t="n"/>
      <c r="B240" s="26" t="n"/>
      <c r="C240" s="26" t="inlineStr">
        <is>
          <t>Description</t>
        </is>
      </c>
      <c r="D240" s="26" t="inlineStr">
        <is>
          <t>Description</t>
        </is>
      </c>
      <c r="E240" s="26" t="inlineStr">
        <is>
          <t>Group Damping</t>
        </is>
      </c>
      <c r="F240" s="26" t="n"/>
      <c r="G240" s="26" t="n"/>
      <c r="H240" s="26" t="inlineStr">
        <is>
          <t>INFO</t>
        </is>
      </c>
      <c r="I240" s="26" t="inlineStr">
        <is>
          <t>DB</t>
        </is>
      </c>
      <c r="J240" s="26" t="inlineStr">
        <is>
          <t>GRDP</t>
        </is>
      </c>
      <c r="K240" s="26" t="n"/>
      <c r="L240" s="26" t="inlineStr">
        <is>
          <t>/INFO/DB/GRDP</t>
        </is>
      </c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inlineStr">
        <is>
          <t>GET</t>
        </is>
      </c>
      <c r="W240" s="26" t="n"/>
      <c r="X240" s="26" t="n"/>
    </row>
    <row r="241">
      <c r="A241" s="26" t="n"/>
      <c r="B241" s="26" t="n"/>
      <c r="C241" s="26" t="inlineStr">
        <is>
          <t>Description</t>
        </is>
      </c>
      <c r="D241" s="26" t="inlineStr">
        <is>
          <t>Description</t>
        </is>
      </c>
      <c r="E241" s="26" t="inlineStr">
        <is>
          <t>Structure Group</t>
        </is>
      </c>
      <c r="F241" s="26" t="n"/>
      <c r="G241" s="26" t="n"/>
      <c r="H241" s="26" t="inlineStr">
        <is>
          <t>INFO</t>
        </is>
      </c>
      <c r="I241" s="26" t="inlineStr">
        <is>
          <t>DB</t>
        </is>
      </c>
      <c r="J241" s="26" t="inlineStr">
        <is>
          <t>GRUP</t>
        </is>
      </c>
      <c r="K241" s="26" t="n"/>
      <c r="L241" s="26" t="inlineStr">
        <is>
          <t>/INFO/DB/GRUP</t>
        </is>
      </c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inlineStr">
        <is>
          <t>GET</t>
        </is>
      </c>
      <c r="W241" s="26" t="n"/>
      <c r="X241" s="26" t="n"/>
    </row>
    <row r="242">
      <c r="A242" s="26" t="n"/>
      <c r="B242" s="26" t="n"/>
      <c r="C242" s="26" t="inlineStr">
        <is>
          <t>Description</t>
        </is>
      </c>
      <c r="D242" s="26" t="inlineStr">
        <is>
          <t>Description</t>
        </is>
      </c>
      <c r="E242" s="26" t="inlineStr">
        <is>
          <t>Bridge Girder Diagrams</t>
        </is>
      </c>
      <c r="F242" s="26" t="n"/>
      <c r="G242" s="26" t="n"/>
      <c r="H242" s="26" t="inlineStr">
        <is>
          <t>INFO</t>
        </is>
      </c>
      <c r="I242" s="26" t="inlineStr">
        <is>
          <t>DB</t>
        </is>
      </c>
      <c r="J242" s="26" t="inlineStr">
        <is>
          <t>GSBG</t>
        </is>
      </c>
      <c r="K242" s="26" t="n"/>
      <c r="L242" s="26" t="inlineStr">
        <is>
          <t>/INFO/DB/GSBG</t>
        </is>
      </c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inlineStr">
        <is>
          <t>GET</t>
        </is>
      </c>
      <c r="W242" s="26" t="n"/>
      <c r="X242" s="26" t="n"/>
    </row>
    <row r="243">
      <c r="A243" s="26" t="n"/>
      <c r="B243" s="26" t="n"/>
      <c r="C243" s="26" t="inlineStr">
        <is>
          <t>Description</t>
        </is>
      </c>
      <c r="D243" s="26" t="inlineStr">
        <is>
          <t>Description</t>
        </is>
      </c>
      <c r="E243" s="26" t="inlineStr">
        <is>
          <t>Assign General Spring Supports</t>
        </is>
      </c>
      <c r="F243" s="26" t="n"/>
      <c r="G243" s="26" t="n"/>
      <c r="H243" s="26" t="inlineStr">
        <is>
          <t>INFO</t>
        </is>
      </c>
      <c r="I243" s="26" t="inlineStr">
        <is>
          <t>DB</t>
        </is>
      </c>
      <c r="J243" s="26" t="inlineStr">
        <is>
          <t>GSPR</t>
        </is>
      </c>
      <c r="K243" s="26" t="n"/>
      <c r="L243" s="26" t="inlineStr">
        <is>
          <t>/INFO/DB/GSPR</t>
        </is>
      </c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inlineStr">
        <is>
          <t>GET</t>
        </is>
      </c>
      <c r="W243" s="26" t="n"/>
      <c r="X243" s="26" t="n"/>
    </row>
    <row r="244">
      <c r="A244" s="26" t="n"/>
      <c r="B244" s="26" t="n"/>
      <c r="C244" s="26" t="inlineStr">
        <is>
          <t>Description</t>
        </is>
      </c>
      <c r="D244" s="26" t="inlineStr">
        <is>
          <t>Description</t>
        </is>
      </c>
      <c r="E244" s="26" t="inlineStr">
        <is>
          <t>Define General Spring Type</t>
        </is>
      </c>
      <c r="F244" s="26" t="n"/>
      <c r="G244" s="26" t="n"/>
      <c r="H244" s="26" t="inlineStr">
        <is>
          <t>INFO</t>
        </is>
      </c>
      <c r="I244" s="26" t="inlineStr">
        <is>
          <t>DB</t>
        </is>
      </c>
      <c r="J244" s="26" t="inlineStr">
        <is>
          <t>GSTP</t>
        </is>
      </c>
      <c r="K244" s="26" t="n"/>
      <c r="L244" s="26" t="inlineStr">
        <is>
          <t>/INFO/DB/GSTP</t>
        </is>
      </c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inlineStr">
        <is>
          <t>GET</t>
        </is>
      </c>
      <c r="W244" s="26" t="n"/>
      <c r="X244" s="26" t="n"/>
    </row>
    <row r="245">
      <c r="A245" s="26" t="n"/>
      <c r="B245" s="26" t="n"/>
      <c r="C245" s="26" t="inlineStr">
        <is>
          <t>Description</t>
        </is>
      </c>
      <c r="D245" s="26" t="inlineStr">
        <is>
          <t>Description</t>
        </is>
      </c>
      <c r="E245" s="26" t="inlineStr">
        <is>
          <t>Temperature Gradient</t>
        </is>
      </c>
      <c r="F245" s="26" t="n"/>
      <c r="G245" s="26" t="n"/>
      <c r="H245" s="26" t="inlineStr">
        <is>
          <t>INFO</t>
        </is>
      </c>
      <c r="I245" s="26" t="inlineStr">
        <is>
          <t>DB</t>
        </is>
      </c>
      <c r="J245" s="26" t="inlineStr">
        <is>
          <t>GTMP</t>
        </is>
      </c>
      <c r="K245" s="26" t="n"/>
      <c r="L245" s="26" t="inlineStr">
        <is>
          <t>/INFO/DB/GTMP</t>
        </is>
      </c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inlineStr">
        <is>
          <t>GET</t>
        </is>
      </c>
      <c r="W245" s="26" t="n"/>
      <c r="X245" s="26" t="n"/>
    </row>
    <row r="246">
      <c r="A246" s="26" t="n"/>
      <c r="B246" s="26" t="n"/>
      <c r="C246" s="26" t="inlineStr">
        <is>
          <t>Description</t>
        </is>
      </c>
      <c r="D246" s="26" t="inlineStr">
        <is>
          <t>Description</t>
        </is>
      </c>
      <c r="E246" s="26" t="inlineStr">
        <is>
          <t>Assign Heat Source</t>
        </is>
      </c>
      <c r="F246" s="26" t="n"/>
      <c r="G246" s="26" t="n"/>
      <c r="H246" s="26" t="inlineStr">
        <is>
          <t>INFO</t>
        </is>
      </c>
      <c r="I246" s="26" t="inlineStr">
        <is>
          <t>DB</t>
        </is>
      </c>
      <c r="J246" s="26" t="inlineStr">
        <is>
          <t>HAHS</t>
        </is>
      </c>
      <c r="K246" s="26" t="n"/>
      <c r="L246" s="26" t="inlineStr">
        <is>
          <t>/INFO/DB/HAHS</t>
        </is>
      </c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inlineStr">
        <is>
          <t>GET</t>
        </is>
      </c>
      <c r="W246" s="26" t="n"/>
      <c r="X246" s="26" t="n"/>
    </row>
    <row r="247">
      <c r="A247" s="26" t="n"/>
      <c r="B247" s="26" t="n"/>
      <c r="C247" s="26" t="inlineStr">
        <is>
          <t>Description</t>
        </is>
      </c>
      <c r="D247" s="26" t="inlineStr">
        <is>
          <t>Description</t>
        </is>
      </c>
      <c r="E247" s="26" t="inlineStr">
        <is>
          <t>Element Convection Boundary</t>
        </is>
      </c>
      <c r="F247" s="26" t="n"/>
      <c r="G247" s="26" t="n"/>
      <c r="H247" s="26" t="inlineStr">
        <is>
          <t>INFO</t>
        </is>
      </c>
      <c r="I247" s="26" t="inlineStr">
        <is>
          <t>DB</t>
        </is>
      </c>
      <c r="J247" s="26" t="inlineStr">
        <is>
          <t>HECB</t>
        </is>
      </c>
      <c r="K247" s="26" t="n"/>
      <c r="L247" s="26" t="inlineStr">
        <is>
          <t>/INFO/DB/HECB</t>
        </is>
      </c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inlineStr">
        <is>
          <t>GET</t>
        </is>
      </c>
      <c r="W247" s="26" t="n"/>
      <c r="X247" s="26" t="n"/>
    </row>
    <row r="248">
      <c r="A248" s="26" t="n"/>
      <c r="B248" s="26" t="n"/>
      <c r="C248" s="26" t="inlineStr">
        <is>
          <t>Description</t>
        </is>
      </c>
      <c r="D248" s="26" t="inlineStr">
        <is>
          <t>Description</t>
        </is>
      </c>
      <c r="E248" s="26" t="inlineStr">
        <is>
          <t>Heat of Hydration Analysis Control</t>
        </is>
      </c>
      <c r="F248" s="26" t="n"/>
      <c r="G248" s="26" t="n"/>
      <c r="H248" s="26" t="inlineStr">
        <is>
          <t>INFO</t>
        </is>
      </c>
      <c r="I248" s="26" t="inlineStr">
        <is>
          <t>DB</t>
        </is>
      </c>
      <c r="J248" s="26" t="inlineStr">
        <is>
          <t>HHCT</t>
        </is>
      </c>
      <c r="K248" s="26" t="n"/>
      <c r="L248" s="26" t="inlineStr">
        <is>
          <t>/INFO/DB/HHCT</t>
        </is>
      </c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inlineStr">
        <is>
          <t>GET</t>
        </is>
      </c>
      <c r="W248" s="26" t="n"/>
      <c r="X248" s="26" t="n"/>
    </row>
    <row r="249">
      <c r="A249" s="26" t="n"/>
      <c r="B249" s="26" t="n"/>
      <c r="C249" s="26" t="inlineStr">
        <is>
          <t>Description</t>
        </is>
      </c>
      <c r="D249" s="26" t="inlineStr">
        <is>
          <t>Description</t>
        </is>
      </c>
      <c r="E249" s="26" t="inlineStr">
        <is>
          <t>Heat of Hydaration Result Graph</t>
        </is>
      </c>
      <c r="F249" s="26" t="n"/>
      <c r="G249" s="26" t="n"/>
      <c r="H249" s="26" t="inlineStr">
        <is>
          <t>INFO</t>
        </is>
      </c>
      <c r="I249" s="26" t="inlineStr">
        <is>
          <t>DB</t>
        </is>
      </c>
      <c r="J249" s="26" t="inlineStr">
        <is>
          <t>HHND</t>
        </is>
      </c>
      <c r="K249" s="26" t="n"/>
      <c r="L249" s="26" t="inlineStr">
        <is>
          <t>/INFO/DB/HHND</t>
        </is>
      </c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inlineStr">
        <is>
          <t>GET</t>
        </is>
      </c>
      <c r="W249" s="26" t="n"/>
      <c r="X249" s="26" t="n"/>
    </row>
    <row r="250">
      <c r="A250" s="26" t="n"/>
      <c r="B250" s="26" t="n"/>
      <c r="C250" s="26" t="inlineStr">
        <is>
          <t>Description</t>
        </is>
      </c>
      <c r="D250" s="26" t="inlineStr">
        <is>
          <t>Description</t>
        </is>
      </c>
      <c r="E250" s="26" t="inlineStr">
        <is>
          <t>Pipe Cooling</t>
        </is>
      </c>
      <c r="F250" s="26" t="n"/>
      <c r="G250" s="26" t="n"/>
      <c r="H250" s="26" t="inlineStr">
        <is>
          <t>INFO</t>
        </is>
      </c>
      <c r="I250" s="26" t="inlineStr">
        <is>
          <t>DB</t>
        </is>
      </c>
      <c r="J250" s="26" t="inlineStr">
        <is>
          <t>HPCE</t>
        </is>
      </c>
      <c r="K250" s="26" t="n"/>
      <c r="L250" s="26" t="inlineStr">
        <is>
          <t>/INFO/DB/HPCE</t>
        </is>
      </c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inlineStr">
        <is>
          <t>GET</t>
        </is>
      </c>
      <c r="W250" s="26" t="n"/>
      <c r="X250" s="26" t="n"/>
    </row>
    <row r="251">
      <c r="A251" s="26" t="n"/>
      <c r="B251" s="26" t="n"/>
      <c r="C251" s="26" t="inlineStr">
        <is>
          <t>Description</t>
        </is>
      </c>
      <c r="D251" s="26" t="inlineStr">
        <is>
          <t>Description</t>
        </is>
      </c>
      <c r="E251" s="26" t="inlineStr">
        <is>
          <t>Heat Source Functions</t>
        </is>
      </c>
      <c r="F251" s="26" t="n"/>
      <c r="G251" s="26" t="n"/>
      <c r="H251" s="26" t="inlineStr">
        <is>
          <t>INFO</t>
        </is>
      </c>
      <c r="I251" s="26" t="inlineStr">
        <is>
          <t>DB</t>
        </is>
      </c>
      <c r="J251" s="26" t="inlineStr">
        <is>
          <t>HSFC</t>
        </is>
      </c>
      <c r="K251" s="26" t="n"/>
      <c r="L251" s="26" t="inlineStr">
        <is>
          <t>/INFO/DB/HSFC</t>
        </is>
      </c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inlineStr">
        <is>
          <t>GET</t>
        </is>
      </c>
      <c r="W251" s="26" t="n"/>
      <c r="X251" s="26" t="n"/>
    </row>
    <row r="252">
      <c r="A252" s="26" t="n"/>
      <c r="B252" s="26" t="n"/>
      <c r="C252" s="26" t="inlineStr">
        <is>
          <t>Description</t>
        </is>
      </c>
      <c r="D252" s="26" t="inlineStr">
        <is>
          <t>Description</t>
        </is>
      </c>
      <c r="E252" s="26" t="inlineStr">
        <is>
          <t>Prescribed Temperature</t>
        </is>
      </c>
      <c r="F252" s="26" t="n"/>
      <c r="G252" s="26" t="n"/>
      <c r="H252" s="26" t="inlineStr">
        <is>
          <t>INFO</t>
        </is>
      </c>
      <c r="I252" s="26" t="inlineStr">
        <is>
          <t>DB</t>
        </is>
      </c>
      <c r="J252" s="26" t="inlineStr">
        <is>
          <t>HSPT</t>
        </is>
      </c>
      <c r="K252" s="26" t="n"/>
      <c r="L252" s="26" t="inlineStr">
        <is>
          <t>/INFO/DB/HSPT</t>
        </is>
      </c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inlineStr">
        <is>
          <t>GET</t>
        </is>
      </c>
      <c r="W252" s="26" t="n"/>
      <c r="X252" s="26" t="n"/>
    </row>
    <row r="253">
      <c r="A253" s="26" t="n"/>
      <c r="B253" s="26" t="n"/>
      <c r="C253" s="26" t="inlineStr">
        <is>
          <t>Description</t>
        </is>
      </c>
      <c r="D253" s="26" t="inlineStr">
        <is>
          <t>Description</t>
        </is>
      </c>
      <c r="E253" s="26" t="inlineStr">
        <is>
          <t>Define Construction Stage for Hydration</t>
        </is>
      </c>
      <c r="F253" s="26" t="n"/>
      <c r="G253" s="26" t="n"/>
      <c r="H253" s="26" t="inlineStr">
        <is>
          <t>INFO</t>
        </is>
      </c>
      <c r="I253" s="26" t="inlineStr">
        <is>
          <t>DB</t>
        </is>
      </c>
      <c r="J253" s="26" t="inlineStr">
        <is>
          <t>HSTG</t>
        </is>
      </c>
      <c r="K253" s="26" t="n"/>
      <c r="L253" s="26" t="inlineStr">
        <is>
          <t>/INFO/DB/HSTG</t>
        </is>
      </c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inlineStr">
        <is>
          <t>GET</t>
        </is>
      </c>
      <c r="W253" s="26" t="n"/>
      <c r="X253" s="26" t="n"/>
    </row>
    <row r="254">
      <c r="A254" s="26" t="n"/>
      <c r="B254" s="26" t="n"/>
      <c r="C254" s="26" t="inlineStr">
        <is>
          <t>Description</t>
        </is>
      </c>
      <c r="D254" s="26" t="inlineStr">
        <is>
          <t>Description</t>
        </is>
      </c>
      <c r="E254" s="26" t="inlineStr">
        <is>
          <t>Inelastic Hinge Control Data</t>
        </is>
      </c>
      <c r="F254" s="26" t="n"/>
      <c r="G254" s="26" t="n"/>
      <c r="H254" s="26" t="inlineStr">
        <is>
          <t>INFO</t>
        </is>
      </c>
      <c r="I254" s="26" t="inlineStr">
        <is>
          <t>DB</t>
        </is>
      </c>
      <c r="J254" s="26" t="inlineStr">
        <is>
          <t>IEHC</t>
        </is>
      </c>
      <c r="K254" s="26" t="n"/>
      <c r="L254" s="26" t="inlineStr">
        <is>
          <t>/INFO/DB/IEHC</t>
        </is>
      </c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inlineStr">
        <is>
          <t>GET</t>
        </is>
      </c>
      <c r="W254" s="26" t="n"/>
      <c r="X254" s="26" t="n"/>
    </row>
    <row r="255">
      <c r="A255" s="26" t="n"/>
      <c r="B255" s="26" t="n"/>
      <c r="C255" s="26" t="inlineStr">
        <is>
          <t>Description</t>
        </is>
      </c>
      <c r="D255" s="26" t="inlineStr">
        <is>
          <t>Description</t>
        </is>
      </c>
      <c r="E255" s="26" t="inlineStr">
        <is>
          <t>Assign Inelastic Hinge Properties</t>
        </is>
      </c>
      <c r="F255" s="26" t="n"/>
      <c r="G255" s="26" t="n"/>
      <c r="H255" s="26" t="inlineStr">
        <is>
          <t>INFO</t>
        </is>
      </c>
      <c r="I255" s="26" t="inlineStr">
        <is>
          <t>DB</t>
        </is>
      </c>
      <c r="J255" s="26" t="inlineStr">
        <is>
          <t>IEHG</t>
        </is>
      </c>
      <c r="K255" s="26" t="n"/>
      <c r="L255" s="26" t="inlineStr">
        <is>
          <t>/INFO/DB/IEHG</t>
        </is>
      </c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inlineStr">
        <is>
          <t>GET</t>
        </is>
      </c>
      <c r="W255" s="26" t="n"/>
      <c r="X255" s="26" t="n"/>
    </row>
    <row r="256">
      <c r="A256" s="26" t="n"/>
      <c r="B256" s="26" t="n"/>
      <c r="C256" s="26" t="inlineStr">
        <is>
          <t>Description</t>
        </is>
      </c>
      <c r="D256" s="26" t="inlineStr">
        <is>
          <t>Description</t>
        </is>
      </c>
      <c r="E256" s="26" t="n"/>
      <c r="F256" s="26" t="n"/>
      <c r="G256" s="26" t="n"/>
      <c r="H256" s="26" t="inlineStr">
        <is>
          <t>INFO</t>
        </is>
      </c>
      <c r="I256" s="26" t="inlineStr">
        <is>
          <t>DB</t>
        </is>
      </c>
      <c r="J256" s="26" t="inlineStr">
        <is>
          <t>IEHP</t>
        </is>
      </c>
      <c r="K256" s="26" t="n"/>
      <c r="L256" s="26" t="inlineStr">
        <is>
          <t>/INFO/DB/IEHP</t>
        </is>
      </c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inlineStr">
        <is>
          <t>GET</t>
        </is>
      </c>
      <c r="W256" s="26" t="n"/>
      <c r="X256" s="26" t="n"/>
    </row>
    <row r="257">
      <c r="A257" s="26" t="n"/>
      <c r="B257" s="26" t="n"/>
      <c r="C257" s="26" t="inlineStr">
        <is>
          <t>Description</t>
        </is>
      </c>
      <c r="D257" s="26" t="inlineStr">
        <is>
          <t>Description</t>
        </is>
      </c>
      <c r="E257" s="26" t="inlineStr">
        <is>
          <t>Ignore Elements for Load Cases</t>
        </is>
      </c>
      <c r="F257" s="26" t="n"/>
      <c r="G257" s="26" t="n"/>
      <c r="H257" s="26" t="inlineStr">
        <is>
          <t>INFO</t>
        </is>
      </c>
      <c r="I257" s="26" t="inlineStr">
        <is>
          <t>DB</t>
        </is>
      </c>
      <c r="J257" s="26" t="inlineStr">
        <is>
          <t>IELC</t>
        </is>
      </c>
      <c r="K257" s="26" t="n"/>
      <c r="L257" s="26" t="inlineStr">
        <is>
          <t>/INFO/DB/IELC</t>
        </is>
      </c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inlineStr">
        <is>
          <t>GET</t>
        </is>
      </c>
      <c r="W257" s="26" t="n"/>
      <c r="X257" s="26" t="n"/>
    </row>
    <row r="258">
      <c r="A258" s="26" t="n"/>
      <c r="B258" s="26" t="n"/>
      <c r="C258" s="26" t="inlineStr">
        <is>
          <t>Description</t>
        </is>
      </c>
      <c r="D258" s="26" t="inlineStr">
        <is>
          <t>Description</t>
        </is>
      </c>
      <c r="E258" s="26" t="inlineStr">
        <is>
          <t>Ignore Elements for Pushover Intial Load</t>
        </is>
      </c>
      <c r="F258" s="26" t="n"/>
      <c r="G258" s="26" t="n"/>
      <c r="H258" s="26" t="inlineStr">
        <is>
          <t>INFO</t>
        </is>
      </c>
      <c r="I258" s="26" t="inlineStr">
        <is>
          <t>DB</t>
        </is>
      </c>
      <c r="J258" s="26" t="inlineStr">
        <is>
          <t>IEPI</t>
        </is>
      </c>
      <c r="K258" s="26" t="n"/>
      <c r="L258" s="26" t="inlineStr">
        <is>
          <t>/INFO/DB/IEPI</t>
        </is>
      </c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inlineStr">
        <is>
          <t>GET</t>
        </is>
      </c>
      <c r="W258" s="26" t="n"/>
      <c r="X258" s="26" t="n"/>
    </row>
    <row r="259">
      <c r="A259" s="26" t="n"/>
      <c r="B259" s="26" t="n"/>
      <c r="C259" s="26" t="inlineStr">
        <is>
          <t>Description</t>
        </is>
      </c>
      <c r="D259" s="26" t="inlineStr">
        <is>
          <t>Description</t>
        </is>
      </c>
      <c r="E259" s="26" t="inlineStr">
        <is>
          <t>Large Displacement - Initial Forces for Geometric Stiffness</t>
        </is>
      </c>
      <c r="F259" s="26" t="n"/>
      <c r="G259" s="26" t="n"/>
      <c r="H259" s="26" t="inlineStr">
        <is>
          <t>INFO</t>
        </is>
      </c>
      <c r="I259" s="26" t="inlineStr">
        <is>
          <t>DB</t>
        </is>
      </c>
      <c r="J259" s="26" t="inlineStr">
        <is>
          <t>IFGS</t>
        </is>
      </c>
      <c r="K259" s="26" t="n"/>
      <c r="L259" s="26" t="inlineStr">
        <is>
          <t>/INFO/DB/IFGS</t>
        </is>
      </c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inlineStr">
        <is>
          <t>GET</t>
        </is>
      </c>
      <c r="W259" s="26" t="n"/>
      <c r="X259" s="26" t="n"/>
    </row>
    <row r="260">
      <c r="A260" s="26" t="n"/>
      <c r="B260" s="26" t="n"/>
      <c r="C260" s="26" t="inlineStr">
        <is>
          <t>Description</t>
        </is>
      </c>
      <c r="D260" s="26" t="inlineStr">
        <is>
          <t>Description</t>
        </is>
      </c>
      <c r="E260" s="26" t="inlineStr">
        <is>
          <t>Inelastic Material Properties for Fiber Model</t>
        </is>
      </c>
      <c r="F260" s="26" t="n"/>
      <c r="G260" s="26" t="n"/>
      <c r="H260" s="26" t="inlineStr">
        <is>
          <t>INFO</t>
        </is>
      </c>
      <c r="I260" s="26" t="inlineStr">
        <is>
          <t>DB</t>
        </is>
      </c>
      <c r="J260" s="26" t="inlineStr">
        <is>
          <t>IMFM</t>
        </is>
      </c>
      <c r="K260" s="26" t="n"/>
      <c r="L260" s="26" t="inlineStr">
        <is>
          <t>/INFO/DB/IMFM</t>
        </is>
      </c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inlineStr">
        <is>
          <t>GET</t>
        </is>
      </c>
      <c r="W260" s="26" t="n"/>
      <c r="X260" s="26" t="n"/>
    </row>
    <row r="261">
      <c r="A261" s="26" t="n"/>
      <c r="B261" s="26" t="n"/>
      <c r="C261" s="26" t="inlineStr">
        <is>
          <t>Description</t>
        </is>
      </c>
      <c r="D261" s="26" t="inlineStr">
        <is>
          <t>Description</t>
        </is>
      </c>
      <c r="E261" s="26" t="inlineStr">
        <is>
          <t>Additional Impact Factor</t>
        </is>
      </c>
      <c r="F261" s="26" t="n"/>
      <c r="G261" s="26" t="n"/>
      <c r="H261" s="26" t="inlineStr">
        <is>
          <t>INFO</t>
        </is>
      </c>
      <c r="I261" s="26" t="inlineStr">
        <is>
          <t>DB</t>
        </is>
      </c>
      <c r="J261" s="26" t="inlineStr">
        <is>
          <t>IMPF</t>
        </is>
      </c>
      <c r="K261" s="26" t="n"/>
      <c r="L261" s="26" t="inlineStr">
        <is>
          <t>/INFO/DB/IMPF</t>
        </is>
      </c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inlineStr">
        <is>
          <t>GET</t>
        </is>
      </c>
      <c r="W261" s="26" t="n"/>
      <c r="X261" s="26" t="n"/>
    </row>
    <row r="262">
      <c r="A262" s="26" t="n"/>
      <c r="B262" s="26" t="n"/>
      <c r="C262" s="26" t="inlineStr">
        <is>
          <t>Description</t>
        </is>
      </c>
      <c r="D262" s="26" t="inlineStr">
        <is>
          <t>Description</t>
        </is>
      </c>
      <c r="E262" s="26" t="inlineStr">
        <is>
          <t>Small Displacement - Initial Element Force</t>
        </is>
      </c>
      <c r="F262" s="26" t="n"/>
      <c r="G262" s="26" t="n"/>
      <c r="H262" s="26" t="inlineStr">
        <is>
          <t>INFO</t>
        </is>
      </c>
      <c r="I262" s="26" t="inlineStr">
        <is>
          <t>DB</t>
        </is>
      </c>
      <c r="J262" s="26" t="inlineStr">
        <is>
          <t>INMF</t>
        </is>
      </c>
      <c r="K262" s="26" t="n"/>
      <c r="L262" s="26" t="inlineStr">
        <is>
          <t>/INFO/DB/INMF</t>
        </is>
      </c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inlineStr">
        <is>
          <t>GET</t>
        </is>
      </c>
      <c r="W262" s="26" t="n"/>
      <c r="X262" s="26" t="n"/>
    </row>
    <row r="263">
      <c r="A263" s="26" t="n"/>
      <c r="B263" s="26" t="n"/>
      <c r="C263" s="26" t="inlineStr">
        <is>
          <t>Description</t>
        </is>
      </c>
      <c r="D263" s="26" t="inlineStr">
        <is>
          <t>Description</t>
        </is>
      </c>
      <c r="E263" s="26" t="n"/>
      <c r="F263" s="26" t="n"/>
      <c r="G263" s="26" t="n"/>
      <c r="H263" s="26" t="inlineStr">
        <is>
          <t>INFO</t>
        </is>
      </c>
      <c r="I263" s="26" t="inlineStr">
        <is>
          <t>DB</t>
        </is>
      </c>
      <c r="J263" s="26" t="inlineStr">
        <is>
          <t>KFAC</t>
        </is>
      </c>
      <c r="K263" s="26" t="n"/>
      <c r="L263" s="26" t="inlineStr">
        <is>
          <t>/INFO/DB/KFAC</t>
        </is>
      </c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inlineStr">
        <is>
          <t>GET</t>
        </is>
      </c>
      <c r="W263" s="26" t="n"/>
      <c r="X263" s="26" t="n"/>
    </row>
    <row r="264">
      <c r="A264" s="26" t="n"/>
      <c r="B264" s="26" t="n"/>
      <c r="C264" s="26" t="inlineStr">
        <is>
          <t>Description</t>
        </is>
      </c>
      <c r="D264" s="26" t="inlineStr">
        <is>
          <t>Description</t>
        </is>
      </c>
      <c r="E264" s="26" t="n"/>
      <c r="F264" s="26" t="n"/>
      <c r="G264" s="26" t="n"/>
      <c r="H264" s="26" t="inlineStr">
        <is>
          <t>INFO</t>
        </is>
      </c>
      <c r="I264" s="26" t="inlineStr">
        <is>
          <t>DB</t>
        </is>
      </c>
      <c r="J264" s="26" t="inlineStr">
        <is>
          <t>LCOM-ALUM</t>
        </is>
      </c>
      <c r="K264" s="26" t="n"/>
      <c r="L264" s="26" t="inlineStr">
        <is>
          <t>/INFO/DB/LCOM-ALUM</t>
        </is>
      </c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inlineStr">
        <is>
          <t>GET</t>
        </is>
      </c>
      <c r="W264" s="26" t="n"/>
      <c r="X264" s="26" t="n"/>
    </row>
    <row r="265">
      <c r="A265" s="26" t="n"/>
      <c r="B265" s="26" t="n"/>
      <c r="C265" s="26" t="inlineStr">
        <is>
          <t>Description</t>
        </is>
      </c>
      <c r="D265" s="26" t="inlineStr">
        <is>
          <t>Description</t>
        </is>
      </c>
      <c r="E265" s="26" t="n"/>
      <c r="F265" s="26" t="n"/>
      <c r="G265" s="26" t="n"/>
      <c r="H265" s="26" t="inlineStr">
        <is>
          <t>INFO</t>
        </is>
      </c>
      <c r="I265" s="26" t="inlineStr">
        <is>
          <t>DB</t>
        </is>
      </c>
      <c r="J265" s="26" t="inlineStr">
        <is>
          <t>LCOM-CFSTEEL</t>
        </is>
      </c>
      <c r="K265" s="26" t="n"/>
      <c r="L265" s="26" t="inlineStr">
        <is>
          <t>/INFO/DB/LCOM-CFSTEEL</t>
        </is>
      </c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inlineStr">
        <is>
          <t>GET</t>
        </is>
      </c>
      <c r="W265" s="26" t="n"/>
      <c r="X265" s="26" t="n"/>
    </row>
    <row r="266">
      <c r="A266" s="26" t="n"/>
      <c r="B266" s="26" t="n"/>
      <c r="C266" s="26" t="inlineStr">
        <is>
          <t>Description</t>
        </is>
      </c>
      <c r="D266" s="26" t="inlineStr">
        <is>
          <t>Description</t>
        </is>
      </c>
      <c r="E266" s="26" t="inlineStr">
        <is>
          <t>Load Combinations - Concrete Design</t>
        </is>
      </c>
      <c r="F266" s="26" t="n"/>
      <c r="G266" s="26" t="n"/>
      <c r="H266" s="26" t="inlineStr">
        <is>
          <t>INFO</t>
        </is>
      </c>
      <c r="I266" s="26" t="inlineStr">
        <is>
          <t>DB</t>
        </is>
      </c>
      <c r="J266" s="26" t="inlineStr">
        <is>
          <t>LCOM-CONC</t>
        </is>
      </c>
      <c r="K266" s="26" t="n"/>
      <c r="L266" s="26" t="inlineStr">
        <is>
          <t>/INFO/DB/LCOM-CONC</t>
        </is>
      </c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inlineStr">
        <is>
          <t>GET</t>
        </is>
      </c>
      <c r="W266" s="26" t="n"/>
      <c r="X266" s="26" t="n"/>
    </row>
    <row r="267">
      <c r="A267" s="26" t="n"/>
      <c r="B267" s="26" t="n"/>
      <c r="C267" s="26" t="inlineStr">
        <is>
          <t>Description</t>
        </is>
      </c>
      <c r="D267" s="26" t="inlineStr">
        <is>
          <t>Description</t>
        </is>
      </c>
      <c r="E267" s="26" t="n"/>
      <c r="F267" s="26" t="n"/>
      <c r="G267" s="26" t="n"/>
      <c r="H267" s="26" t="inlineStr">
        <is>
          <t>INFO</t>
        </is>
      </c>
      <c r="I267" s="26" t="inlineStr">
        <is>
          <t>DB</t>
        </is>
      </c>
      <c r="J267" s="26" t="inlineStr">
        <is>
          <t>LCOM-FDN</t>
        </is>
      </c>
      <c r="K267" s="26" t="n"/>
      <c r="L267" s="26" t="inlineStr">
        <is>
          <t>/INFO/DB/LCOM-FDN</t>
        </is>
      </c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inlineStr">
        <is>
          <t>GET</t>
        </is>
      </c>
      <c r="W267" s="26" t="n"/>
      <c r="X267" s="26" t="n"/>
    </row>
    <row r="268">
      <c r="A268" s="26" t="n"/>
      <c r="B268" s="26" t="n"/>
      <c r="C268" s="26" t="inlineStr">
        <is>
          <t>Description</t>
        </is>
      </c>
      <c r="D268" s="26" t="inlineStr">
        <is>
          <t>Description</t>
        </is>
      </c>
      <c r="E268" s="26" t="inlineStr">
        <is>
          <t>Load Combinations - General</t>
        </is>
      </c>
      <c r="F268" s="26" t="n"/>
      <c r="G268" s="26" t="n"/>
      <c r="H268" s="26" t="inlineStr">
        <is>
          <t>INFO</t>
        </is>
      </c>
      <c r="I268" s="26" t="inlineStr">
        <is>
          <t>DB</t>
        </is>
      </c>
      <c r="J268" s="26" t="inlineStr">
        <is>
          <t>LCOM-GEN</t>
        </is>
      </c>
      <c r="K268" s="26" t="n"/>
      <c r="L268" s="26" t="inlineStr">
        <is>
          <t>/INFO/DB/LCOM-GEN</t>
        </is>
      </c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inlineStr">
        <is>
          <t>GET</t>
        </is>
      </c>
      <c r="W268" s="26" t="n"/>
      <c r="X268" s="26" t="n"/>
    </row>
    <row r="269">
      <c r="A269" s="26" t="n"/>
      <c r="B269" s="26" t="n"/>
      <c r="C269" s="26" t="inlineStr">
        <is>
          <t>Description</t>
        </is>
      </c>
      <c r="D269" s="26" t="inlineStr">
        <is>
          <t>Description</t>
        </is>
      </c>
      <c r="E269" s="26" t="n"/>
      <c r="F269" s="26" t="n"/>
      <c r="G269" s="26" t="n"/>
      <c r="H269" s="26" t="inlineStr">
        <is>
          <t>INFO</t>
        </is>
      </c>
      <c r="I269" s="26" t="inlineStr">
        <is>
          <t>DB</t>
        </is>
      </c>
      <c r="J269" s="26" t="inlineStr">
        <is>
          <t>LCOM-LINEAR</t>
        </is>
      </c>
      <c r="K269" s="26" t="n"/>
      <c r="L269" s="26" t="inlineStr">
        <is>
          <t>/INFO/DB/LCOM-LINEAR</t>
        </is>
      </c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inlineStr">
        <is>
          <t>GET</t>
        </is>
      </c>
      <c r="W269" s="26" t="n"/>
      <c r="X269" s="26" t="n"/>
    </row>
    <row r="270">
      <c r="A270" s="26" t="n"/>
      <c r="B270" s="26" t="n"/>
      <c r="C270" s="26" t="inlineStr">
        <is>
          <t>Description</t>
        </is>
      </c>
      <c r="D270" s="26" t="inlineStr">
        <is>
          <t>Description</t>
        </is>
      </c>
      <c r="E270" s="26" t="inlineStr">
        <is>
          <t>Load Combinations - Seismic Design</t>
        </is>
      </c>
      <c r="F270" s="26" t="n"/>
      <c r="G270" s="26" t="n"/>
      <c r="H270" s="26" t="inlineStr">
        <is>
          <t>INFO</t>
        </is>
      </c>
      <c r="I270" s="26" t="inlineStr">
        <is>
          <t>DB</t>
        </is>
      </c>
      <c r="J270" s="26" t="inlineStr">
        <is>
          <t>LCOM-SEISMIC</t>
        </is>
      </c>
      <c r="K270" s="26" t="n"/>
      <c r="L270" s="26" t="inlineStr">
        <is>
          <t>/INFO/DB/LCOM-SEISMIC</t>
        </is>
      </c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inlineStr">
        <is>
          <t>GET</t>
        </is>
      </c>
      <c r="W270" s="26" t="n"/>
      <c r="X270" s="26" t="n"/>
    </row>
    <row r="271">
      <c r="A271" s="26" t="n"/>
      <c r="B271" s="26" t="n"/>
      <c r="C271" s="26" t="inlineStr">
        <is>
          <t>Description</t>
        </is>
      </c>
      <c r="D271" s="26" t="inlineStr">
        <is>
          <t>Description</t>
        </is>
      </c>
      <c r="E271" s="26" t="inlineStr">
        <is>
          <t>Load Combinations - SRC Design</t>
        </is>
      </c>
      <c r="F271" s="26" t="n"/>
      <c r="G271" s="26" t="n"/>
      <c r="H271" s="26" t="inlineStr">
        <is>
          <t>INFO</t>
        </is>
      </c>
      <c r="I271" s="26" t="inlineStr">
        <is>
          <t>DB</t>
        </is>
      </c>
      <c r="J271" s="26" t="inlineStr">
        <is>
          <t>LCOM-SRC</t>
        </is>
      </c>
      <c r="K271" s="26" t="n"/>
      <c r="L271" s="26" t="inlineStr">
        <is>
          <t>/INFO/DB/LCOM-SRC</t>
        </is>
      </c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inlineStr">
        <is>
          <t>GET</t>
        </is>
      </c>
      <c r="W271" s="26" t="n"/>
      <c r="X271" s="26" t="n"/>
    </row>
    <row r="272">
      <c r="A272" s="26" t="n"/>
      <c r="B272" s="26" t="n"/>
      <c r="C272" s="26" t="inlineStr">
        <is>
          <t>Description</t>
        </is>
      </c>
      <c r="D272" s="26" t="inlineStr">
        <is>
          <t>Description</t>
        </is>
      </c>
      <c r="E272" s="26" t="inlineStr">
        <is>
          <t>Load Combinations - Steel Design</t>
        </is>
      </c>
      <c r="F272" s="26" t="n"/>
      <c r="G272" s="26" t="n"/>
      <c r="H272" s="26" t="inlineStr">
        <is>
          <t>INFO</t>
        </is>
      </c>
      <c r="I272" s="26" t="inlineStr">
        <is>
          <t>DB</t>
        </is>
      </c>
      <c r="J272" s="26" t="inlineStr">
        <is>
          <t>LCOM-STEEL</t>
        </is>
      </c>
      <c r="K272" s="26" t="n"/>
      <c r="L272" s="26" t="inlineStr">
        <is>
          <t>/INFO/DB/LCOM-STEEL</t>
        </is>
      </c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inlineStr">
        <is>
          <t>GET</t>
        </is>
      </c>
      <c r="W272" s="26" t="n"/>
      <c r="X272" s="26" t="n"/>
    </row>
    <row r="273">
      <c r="A273" s="26" t="n"/>
      <c r="B273" s="26" t="n"/>
      <c r="C273" s="26" t="inlineStr">
        <is>
          <t>Description</t>
        </is>
      </c>
      <c r="D273" s="26" t="inlineStr">
        <is>
          <t>Description</t>
        </is>
      </c>
      <c r="E273" s="26" t="inlineStr">
        <is>
          <t>Load Combinations - Composite Steel Girder Design</t>
        </is>
      </c>
      <c r="F273" s="26" t="n"/>
      <c r="G273" s="26" t="n"/>
      <c r="H273" s="26" t="inlineStr">
        <is>
          <t>INFO</t>
        </is>
      </c>
      <c r="I273" s="26" t="inlineStr">
        <is>
          <t>DB</t>
        </is>
      </c>
      <c r="J273" s="26" t="inlineStr">
        <is>
          <t>LCOM-STLCOMP</t>
        </is>
      </c>
      <c r="K273" s="26" t="n"/>
      <c r="L273" s="26" t="inlineStr">
        <is>
          <t>/INFO/DB/LCOM-STLCOMP</t>
        </is>
      </c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inlineStr">
        <is>
          <t>GET</t>
        </is>
      </c>
      <c r="W273" s="26" t="n"/>
      <c r="X273" s="26" t="n"/>
    </row>
    <row r="274">
      <c r="A274" s="26" t="n"/>
      <c r="B274" s="26" t="n"/>
      <c r="C274" s="26" t="inlineStr">
        <is>
          <t>Description</t>
        </is>
      </c>
      <c r="D274" s="26" t="inlineStr">
        <is>
          <t>Description</t>
        </is>
      </c>
      <c r="E274" s="26" t="inlineStr">
        <is>
          <t>Load Group</t>
        </is>
      </c>
      <c r="F274" s="26" t="n"/>
      <c r="G274" s="26" t="n"/>
      <c r="H274" s="26" t="inlineStr">
        <is>
          <t>INFO</t>
        </is>
      </c>
      <c r="I274" s="26" t="inlineStr">
        <is>
          <t>DB</t>
        </is>
      </c>
      <c r="J274" s="26" t="inlineStr">
        <is>
          <t>LDGR</t>
        </is>
      </c>
      <c r="K274" s="26" t="n"/>
      <c r="L274" s="26" t="inlineStr">
        <is>
          <t>/INFO/DB/LDGR</t>
        </is>
      </c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inlineStr">
        <is>
          <t>GET</t>
        </is>
      </c>
      <c r="W274" s="26" t="n"/>
      <c r="X274" s="26" t="n"/>
    </row>
    <row r="275">
      <c r="A275" s="26" t="n"/>
      <c r="B275" s="26" t="n"/>
      <c r="C275" s="26" t="inlineStr">
        <is>
          <t>Description</t>
        </is>
      </c>
      <c r="D275" s="26" t="inlineStr">
        <is>
          <t>Description</t>
        </is>
      </c>
      <c r="E275" s="26" t="inlineStr">
        <is>
          <t>Load Sequence for Nonlinear</t>
        </is>
      </c>
      <c r="F275" s="26" t="n"/>
      <c r="G275" s="26" t="n"/>
      <c r="H275" s="26" t="inlineStr">
        <is>
          <t>INFO</t>
        </is>
      </c>
      <c r="I275" s="26" t="inlineStr">
        <is>
          <t>DB</t>
        </is>
      </c>
      <c r="J275" s="26" t="inlineStr">
        <is>
          <t>LDSQ</t>
        </is>
      </c>
      <c r="K275" s="26" t="n"/>
      <c r="L275" s="26" t="inlineStr">
        <is>
          <t>/INFO/DB/LDSQ</t>
        </is>
      </c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inlineStr">
        <is>
          <t>GET</t>
        </is>
      </c>
      <c r="W275" s="26" t="n"/>
      <c r="X275" s="26" t="n"/>
    </row>
    <row r="276">
      <c r="A276" s="26" t="n"/>
      <c r="B276" s="26" t="n"/>
      <c r="C276" s="26" t="inlineStr">
        <is>
          <t>Description</t>
        </is>
      </c>
      <c r="D276" s="26" t="inlineStr">
        <is>
          <t>Description</t>
        </is>
      </c>
      <c r="E276" s="26" t="inlineStr">
        <is>
          <t>Unbraced Length</t>
        </is>
      </c>
      <c r="F276" s="26" t="n"/>
      <c r="G276" s="26" t="n"/>
      <c r="H276" s="26" t="inlineStr">
        <is>
          <t>INFO</t>
        </is>
      </c>
      <c r="I276" s="26" t="inlineStr">
        <is>
          <t>DB</t>
        </is>
      </c>
      <c r="J276" s="26" t="inlineStr">
        <is>
          <t>LENG</t>
        </is>
      </c>
      <c r="K276" s="26" t="n"/>
      <c r="L276" s="26" t="inlineStr">
        <is>
          <t>/INFO/DB/LENG</t>
        </is>
      </c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inlineStr">
        <is>
          <t>GET</t>
        </is>
      </c>
      <c r="W276" s="26" t="n"/>
      <c r="X276" s="26" t="n"/>
    </row>
    <row r="277">
      <c r="A277" s="26" t="n"/>
      <c r="B277" s="26" t="n"/>
      <c r="C277" s="26" t="inlineStr">
        <is>
          <t>Description</t>
        </is>
      </c>
      <c r="D277" s="26" t="inlineStr">
        <is>
          <t>Description</t>
        </is>
      </c>
      <c r="E277" s="26" t="inlineStr">
        <is>
          <t>Traffic Line Lanes</t>
        </is>
      </c>
      <c r="F277" s="26" t="n"/>
      <c r="G277" s="26" t="n"/>
      <c r="H277" s="26" t="inlineStr">
        <is>
          <t>INFO</t>
        </is>
      </c>
      <c r="I277" s="26" t="inlineStr">
        <is>
          <t>DB</t>
        </is>
      </c>
      <c r="J277" s="26" t="inlineStr">
        <is>
          <t>LLAN</t>
        </is>
      </c>
      <c r="K277" s="26" t="n"/>
      <c r="L277" s="26" t="inlineStr">
        <is>
          <t>/INFO/DB/LLAN</t>
        </is>
      </c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inlineStr">
        <is>
          <t>GET</t>
        </is>
      </c>
      <c r="W277" s="26" t="n"/>
      <c r="X277" s="26" t="n"/>
    </row>
    <row r="278">
      <c r="A278" s="26" t="n"/>
      <c r="B278" s="26" t="n"/>
      <c r="C278" s="26" t="inlineStr">
        <is>
          <t>Description</t>
        </is>
      </c>
      <c r="D278" s="26" t="inlineStr">
        <is>
          <t>Description</t>
        </is>
      </c>
      <c r="E278" s="26" t="inlineStr">
        <is>
          <t>Traffic Line Lanes - China</t>
        </is>
      </c>
      <c r="F278" s="26" t="n"/>
      <c r="G278" s="26" t="n"/>
      <c r="H278" s="26" t="inlineStr">
        <is>
          <t>INFO</t>
        </is>
      </c>
      <c r="I278" s="26" t="inlineStr">
        <is>
          <t>DB</t>
        </is>
      </c>
      <c r="J278" s="26" t="inlineStr">
        <is>
          <t>LLANCH</t>
        </is>
      </c>
      <c r="K278" s="26" t="n"/>
      <c r="L278" s="26" t="inlineStr">
        <is>
          <t>/INFO/DB/LLANCH</t>
        </is>
      </c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inlineStr">
        <is>
          <t>GET</t>
        </is>
      </c>
      <c r="W278" s="26" t="n"/>
      <c r="X278" s="26" t="n"/>
    </row>
    <row r="279">
      <c r="A279" s="26" t="n"/>
      <c r="B279" s="26" t="n"/>
      <c r="C279" s="26" t="inlineStr">
        <is>
          <t>Description</t>
        </is>
      </c>
      <c r="D279" s="26" t="inlineStr">
        <is>
          <t>Description</t>
        </is>
      </c>
      <c r="E279" s="26" t="inlineStr">
        <is>
          <t>Traffic Line Lanes - India</t>
        </is>
      </c>
      <c r="F279" s="26" t="n"/>
      <c r="G279" s="26" t="n"/>
      <c r="H279" s="26" t="inlineStr">
        <is>
          <t>INFO</t>
        </is>
      </c>
      <c r="I279" s="26" t="inlineStr">
        <is>
          <t>DB</t>
        </is>
      </c>
      <c r="J279" s="26" t="inlineStr">
        <is>
          <t>LLANID</t>
        </is>
      </c>
      <c r="K279" s="26" t="n"/>
      <c r="L279" s="26" t="inlineStr">
        <is>
          <t>/INFO/DB/LLANID</t>
        </is>
      </c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inlineStr">
        <is>
          <t>GET</t>
        </is>
      </c>
      <c r="W279" s="26" t="n"/>
      <c r="X279" s="26" t="n"/>
    </row>
    <row r="280">
      <c r="A280" s="26" t="n"/>
      <c r="B280" s="26" t="n"/>
      <c r="C280" s="26" t="inlineStr">
        <is>
          <t>Description</t>
        </is>
      </c>
      <c r="D280" s="26" t="inlineStr">
        <is>
          <t>Description</t>
        </is>
      </c>
      <c r="E280" s="26" t="n"/>
      <c r="F280" s="26" t="n"/>
      <c r="G280" s="26" t="n"/>
      <c r="H280" s="26" t="inlineStr">
        <is>
          <t>INFO</t>
        </is>
      </c>
      <c r="I280" s="26" t="inlineStr">
        <is>
          <t>DB</t>
        </is>
      </c>
      <c r="J280" s="26" t="inlineStr">
        <is>
          <t>LLANJP</t>
        </is>
      </c>
      <c r="K280" s="26" t="n"/>
      <c r="L280" s="26" t="inlineStr">
        <is>
          <t>/INFO/DB/LLANJP</t>
        </is>
      </c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inlineStr">
        <is>
          <t>GET</t>
        </is>
      </c>
      <c r="W280" s="26" t="n"/>
      <c r="X280" s="26" t="n"/>
    </row>
    <row r="281">
      <c r="A281" s="26" t="n"/>
      <c r="B281" s="26" t="n"/>
      <c r="C281" s="26" t="inlineStr">
        <is>
          <t>Description</t>
        </is>
      </c>
      <c r="D281" s="26" t="inlineStr">
        <is>
          <t>Description</t>
        </is>
      </c>
      <c r="E281" s="26" t="inlineStr">
        <is>
          <t>Traffic Line Lanes - Moving Load Optimizaion</t>
        </is>
      </c>
      <c r="F281" s="26" t="n"/>
      <c r="G281" s="26" t="n"/>
      <c r="H281" s="26" t="inlineStr">
        <is>
          <t>INFO</t>
        </is>
      </c>
      <c r="I281" s="26" t="inlineStr">
        <is>
          <t>DB</t>
        </is>
      </c>
      <c r="J281" s="26" t="inlineStr">
        <is>
          <t>LLANOP</t>
        </is>
      </c>
      <c r="K281" s="26" t="n"/>
      <c r="L281" s="26" t="inlineStr">
        <is>
          <t>/INFO/DB/LLANOP</t>
        </is>
      </c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inlineStr">
        <is>
          <t>GET</t>
        </is>
      </c>
      <c r="W281" s="26" t="n"/>
      <c r="X281" s="26" t="n"/>
    </row>
    <row r="282">
      <c r="A282" s="26" t="n"/>
      <c r="B282" s="26" t="n"/>
      <c r="C282" s="26" t="inlineStr">
        <is>
          <t>Description</t>
        </is>
      </c>
      <c r="D282" s="26" t="inlineStr">
        <is>
          <t>Description</t>
        </is>
      </c>
      <c r="E282" s="26" t="inlineStr">
        <is>
          <t>Traffic Line Lanes - Transverse</t>
        </is>
      </c>
      <c r="F282" s="26" t="n"/>
      <c r="G282" s="26" t="n"/>
      <c r="H282" s="26" t="inlineStr">
        <is>
          <t>INFO</t>
        </is>
      </c>
      <c r="I282" s="26" t="inlineStr">
        <is>
          <t>DB</t>
        </is>
      </c>
      <c r="J282" s="26" t="inlineStr">
        <is>
          <t>LLANTR</t>
        </is>
      </c>
      <c r="K282" s="26" t="n"/>
      <c r="L282" s="26" t="inlineStr">
        <is>
          <t>/INFO/DB/LLANTR</t>
        </is>
      </c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inlineStr">
        <is>
          <t>GET</t>
        </is>
      </c>
      <c r="W282" s="26" t="n"/>
      <c r="X282" s="26" t="n"/>
    </row>
    <row r="283">
      <c r="A283" s="26" t="n"/>
      <c r="B283" s="26" t="n"/>
      <c r="C283" s="26" t="inlineStr">
        <is>
          <t>Description</t>
        </is>
      </c>
      <c r="D283" s="26" t="inlineStr">
        <is>
          <t>Description</t>
        </is>
      </c>
      <c r="E283" s="26" t="inlineStr">
        <is>
          <t>Loads to Masses</t>
        </is>
      </c>
      <c r="F283" s="26" t="n"/>
      <c r="G283" s="26" t="n"/>
      <c r="H283" s="26" t="inlineStr">
        <is>
          <t>INFO</t>
        </is>
      </c>
      <c r="I283" s="26" t="inlineStr">
        <is>
          <t>DB</t>
        </is>
      </c>
      <c r="J283" s="26" t="inlineStr">
        <is>
          <t>LTOM</t>
        </is>
      </c>
      <c r="K283" s="26" t="n"/>
      <c r="L283" s="26" t="inlineStr">
        <is>
          <t>/INFO/DB/LTOM</t>
        </is>
      </c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inlineStr">
        <is>
          <t>GET</t>
        </is>
      </c>
      <c r="W283" s="26" t="n"/>
      <c r="X283" s="26" t="n"/>
    </row>
    <row r="284">
      <c r="A284" s="26" t="n"/>
      <c r="B284" s="26" t="n"/>
      <c r="C284" s="26" t="inlineStr">
        <is>
          <t>Description</t>
        </is>
      </c>
      <c r="D284" s="26" t="inlineStr">
        <is>
          <t>Description</t>
        </is>
      </c>
      <c r="E284" s="26" t="inlineStr">
        <is>
          <t>Underground Load Combination Type</t>
        </is>
      </c>
      <c r="F284" s="26" t="n"/>
      <c r="G284" s="26" t="n"/>
      <c r="H284" s="26" t="inlineStr">
        <is>
          <t>INFO</t>
        </is>
      </c>
      <c r="I284" s="26" t="inlineStr">
        <is>
          <t>DB</t>
        </is>
      </c>
      <c r="J284" s="26" t="inlineStr">
        <is>
          <t>LTSR</t>
        </is>
      </c>
      <c r="K284" s="26" t="n"/>
      <c r="L284" s="26" t="inlineStr">
        <is>
          <t>/INFO/DB/LTSR</t>
        </is>
      </c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inlineStr">
        <is>
          <t>GET</t>
        </is>
      </c>
      <c r="W284" s="26" t="n"/>
      <c r="X284" s="26" t="n"/>
    </row>
    <row r="285">
      <c r="A285" s="26" t="n"/>
      <c r="B285" s="26" t="n"/>
      <c r="C285" s="26" t="inlineStr">
        <is>
          <t>Description</t>
        </is>
      </c>
      <c r="D285" s="26" t="inlineStr">
        <is>
          <t>Description</t>
        </is>
      </c>
      <c r="E285" s="26" t="inlineStr">
        <is>
          <t>Define Domain</t>
        </is>
      </c>
      <c r="F285" s="26" t="n"/>
      <c r="G285" s="26" t="n"/>
      <c r="H285" s="26" t="inlineStr">
        <is>
          <t>INFO</t>
        </is>
      </c>
      <c r="I285" s="26" t="inlineStr">
        <is>
          <t>DB</t>
        </is>
      </c>
      <c r="J285" s="26" t="inlineStr">
        <is>
          <t>MADO</t>
        </is>
      </c>
      <c r="K285" s="26" t="n"/>
      <c r="L285" s="26" t="inlineStr">
        <is>
          <t>/INFO/DB/MADO</t>
        </is>
      </c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inlineStr">
        <is>
          <t>GET</t>
        </is>
      </c>
      <c r="W285" s="26" t="n"/>
      <c r="X285" s="26" t="n"/>
    </row>
    <row r="286">
      <c r="A286" s="26" t="n"/>
      <c r="B286" s="26" t="n"/>
      <c r="C286" s="26" t="inlineStr">
        <is>
          <t>Description</t>
        </is>
      </c>
      <c r="D286" s="26" t="inlineStr">
        <is>
          <t>Description</t>
        </is>
      </c>
      <c r="E286" s="26" t="inlineStr">
        <is>
          <t>Modify Concrete Materials</t>
        </is>
      </c>
      <c r="F286" s="26" t="n"/>
      <c r="G286" s="26" t="n"/>
      <c r="H286" s="26" t="inlineStr">
        <is>
          <t>INFO</t>
        </is>
      </c>
      <c r="I286" s="26" t="inlineStr">
        <is>
          <t>DB</t>
        </is>
      </c>
      <c r="J286" s="26" t="inlineStr">
        <is>
          <t>MATD</t>
        </is>
      </c>
      <c r="K286" s="26" t="n"/>
      <c r="L286" s="26" t="inlineStr">
        <is>
          <t>/INFO/DB/MATD</t>
        </is>
      </c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inlineStr">
        <is>
          <t>GET</t>
        </is>
      </c>
      <c r="W286" s="26" t="n"/>
      <c r="X286" s="26" t="n"/>
    </row>
    <row r="287">
      <c r="A287" s="26" t="n"/>
      <c r="B287" s="26" t="n"/>
      <c r="C287" s="26" t="inlineStr">
        <is>
          <t>Description</t>
        </is>
      </c>
      <c r="D287" s="26" t="inlineStr">
        <is>
          <t>Description</t>
        </is>
      </c>
      <c r="E287" s="26" t="inlineStr">
        <is>
          <t>Material Properties</t>
        </is>
      </c>
      <c r="F287" s="26" t="n"/>
      <c r="G287" s="26" t="n"/>
      <c r="H287" s="26" t="inlineStr">
        <is>
          <t>INFO</t>
        </is>
      </c>
      <c r="I287" s="26" t="inlineStr">
        <is>
          <t>DB</t>
        </is>
      </c>
      <c r="J287" s="26" t="inlineStr">
        <is>
          <t>MATL</t>
        </is>
      </c>
      <c r="K287" s="26" t="n"/>
      <c r="L287" s="26" t="inlineStr">
        <is>
          <t>/INFO/DB/MATL</t>
        </is>
      </c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inlineStr">
        <is>
          <t>GET</t>
        </is>
      </c>
      <c r="W287" s="26" t="n"/>
      <c r="X287" s="26" t="n"/>
    </row>
    <row r="288">
      <c r="A288" s="26" t="n"/>
      <c r="B288" s="26" t="n"/>
      <c r="C288" s="26" t="inlineStr">
        <is>
          <t>Description</t>
        </is>
      </c>
      <c r="D288" s="26" t="inlineStr">
        <is>
          <t>Description</t>
        </is>
      </c>
      <c r="E288" s="26" t="inlineStr">
        <is>
          <t>Modify Member Type</t>
        </is>
      </c>
      <c r="F288" s="26" t="n"/>
      <c r="G288" s="26" t="n"/>
      <c r="H288" s="26" t="inlineStr">
        <is>
          <t>INFO</t>
        </is>
      </c>
      <c r="I288" s="26" t="inlineStr">
        <is>
          <t>DB</t>
        </is>
      </c>
      <c r="J288" s="26" t="inlineStr">
        <is>
          <t>MBTP</t>
        </is>
      </c>
      <c r="K288" s="26" t="n"/>
      <c r="L288" s="26" t="inlineStr">
        <is>
          <t>/INFO/DB/MBTP</t>
        </is>
      </c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inlineStr">
        <is>
          <t>GET</t>
        </is>
      </c>
      <c r="W288" s="26" t="n"/>
      <c r="X288" s="26" t="n"/>
    </row>
    <row r="289">
      <c r="A289" s="26" t="n"/>
      <c r="B289" s="26" t="n"/>
      <c r="C289" s="26" t="inlineStr">
        <is>
          <t>Description</t>
        </is>
      </c>
      <c r="D289" s="26" t="inlineStr">
        <is>
          <t>Description</t>
        </is>
      </c>
      <c r="E289" s="26" t="inlineStr">
        <is>
          <t>Linear Constraints</t>
        </is>
      </c>
      <c r="F289" s="26" t="n"/>
      <c r="G289" s="26" t="n"/>
      <c r="H289" s="26" t="inlineStr">
        <is>
          <t>INFO</t>
        </is>
      </c>
      <c r="I289" s="26" t="inlineStr">
        <is>
          <t>DB</t>
        </is>
      </c>
      <c r="J289" s="26" t="inlineStr">
        <is>
          <t>MCON</t>
        </is>
      </c>
      <c r="K289" s="26" t="n"/>
      <c r="L289" s="26" t="inlineStr">
        <is>
          <t>/INFO/DB/MCON</t>
        </is>
      </c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inlineStr">
        <is>
          <t>GET</t>
        </is>
      </c>
      <c r="W289" s="26" t="n"/>
      <c r="X289" s="26" t="n"/>
    </row>
    <row r="290">
      <c r="A290" s="26" t="n"/>
      <c r="B290" s="26" t="n"/>
      <c r="C290" s="26" t="inlineStr">
        <is>
          <t>Description</t>
        </is>
      </c>
      <c r="D290" s="26" t="inlineStr">
        <is>
          <t>Description</t>
        </is>
      </c>
      <c r="E290" s="26" t="n"/>
      <c r="F290" s="26" t="n"/>
      <c r="G290" s="26" t="n"/>
      <c r="H290" s="26" t="inlineStr">
        <is>
          <t>INFO</t>
        </is>
      </c>
      <c r="I290" s="26" t="inlineStr">
        <is>
          <t>DB</t>
        </is>
      </c>
      <c r="J290" s="26" t="inlineStr">
        <is>
          <t>MDGN</t>
        </is>
      </c>
      <c r="K290" s="26" t="n"/>
      <c r="L290" s="26" t="inlineStr">
        <is>
          <t>/INFO/DB/MDGN</t>
        </is>
      </c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inlineStr">
        <is>
          <t>GET</t>
        </is>
      </c>
      <c r="W290" s="26" t="n"/>
      <c r="X290" s="26" t="n"/>
    </row>
    <row r="291">
      <c r="A291" s="26" t="n"/>
      <c r="B291" s="26" t="n"/>
      <c r="C291" s="26" t="inlineStr">
        <is>
          <t>Description</t>
        </is>
      </c>
      <c r="D291" s="26" t="inlineStr">
        <is>
          <t>Description</t>
        </is>
      </c>
      <c r="E291" s="26" t="inlineStr">
        <is>
          <t>Member Assignment</t>
        </is>
      </c>
      <c r="F291" s="26" t="n"/>
      <c r="G291" s="26" t="n"/>
      <c r="H291" s="26" t="inlineStr">
        <is>
          <t>INFO</t>
        </is>
      </c>
      <c r="I291" s="26" t="inlineStr">
        <is>
          <t>DB</t>
        </is>
      </c>
      <c r="J291" s="26" t="inlineStr">
        <is>
          <t>MEMB</t>
        </is>
      </c>
      <c r="K291" s="26" t="n"/>
      <c r="L291" s="26" t="inlineStr">
        <is>
          <t>/INFO/DB/MEMB</t>
        </is>
      </c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inlineStr">
        <is>
          <t>GET</t>
        </is>
      </c>
      <c r="W291" s="26" t="n"/>
      <c r="X291" s="26" t="n"/>
    </row>
    <row r="292">
      <c r="A292" s="26" t="n"/>
      <c r="B292" s="26" t="n"/>
      <c r="C292" s="26" t="inlineStr">
        <is>
          <t>Description</t>
        </is>
      </c>
      <c r="D292" s="26" t="inlineStr">
        <is>
          <t>Description</t>
        </is>
      </c>
      <c r="E292" s="26" t="inlineStr">
        <is>
          <t>Force-Deformation Function</t>
        </is>
      </c>
      <c r="F292" s="26" t="n"/>
      <c r="G292" s="26" t="n"/>
      <c r="H292" s="26" t="inlineStr">
        <is>
          <t>INFO</t>
        </is>
      </c>
      <c r="I292" s="26" t="inlineStr">
        <is>
          <t>DB</t>
        </is>
      </c>
      <c r="J292" s="26" t="inlineStr">
        <is>
          <t>MLFC</t>
        </is>
      </c>
      <c r="K292" s="26" t="n"/>
      <c r="L292" s="26" t="inlineStr">
        <is>
          <t>/INFO/DB/MLFC</t>
        </is>
      </c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inlineStr">
        <is>
          <t>GET</t>
        </is>
      </c>
      <c r="W292" s="26" t="n"/>
      <c r="X292" s="26" t="n"/>
    </row>
    <row r="293">
      <c r="A293" s="26" t="n"/>
      <c r="B293" s="26" t="n"/>
      <c r="C293" s="26" t="inlineStr">
        <is>
          <t>Description</t>
        </is>
      </c>
      <c r="D293" s="26" t="inlineStr">
        <is>
          <t>Description</t>
        </is>
      </c>
      <c r="E293" s="26" t="inlineStr">
        <is>
          <t>Lane Support - Negative Moments at Interior Piers</t>
        </is>
      </c>
      <c r="F293" s="26" t="n"/>
      <c r="G293" s="26" t="n"/>
      <c r="H293" s="26" t="inlineStr">
        <is>
          <t>INFO</t>
        </is>
      </c>
      <c r="I293" s="26" t="inlineStr">
        <is>
          <t>DB</t>
        </is>
      </c>
      <c r="J293" s="26" t="inlineStr">
        <is>
          <t>MLSP</t>
        </is>
      </c>
      <c r="K293" s="26" t="n"/>
      <c r="L293" s="26" t="inlineStr">
        <is>
          <t>/INFO/DB/MLSP</t>
        </is>
      </c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inlineStr">
        <is>
          <t>GET</t>
        </is>
      </c>
      <c r="W293" s="26" t="n"/>
      <c r="X293" s="26" t="n"/>
    </row>
    <row r="294">
      <c r="A294" s="26" t="n"/>
      <c r="B294" s="26" t="n"/>
      <c r="C294" s="26" t="inlineStr">
        <is>
          <t>Description</t>
        </is>
      </c>
      <c r="D294" s="26" t="inlineStr">
        <is>
          <t>Description</t>
        </is>
      </c>
      <c r="E294" s="26" t="inlineStr">
        <is>
          <t>Lane Support - Reactions at Interior Piers</t>
        </is>
      </c>
      <c r="F294" s="26" t="n"/>
      <c r="G294" s="26" t="n"/>
      <c r="H294" s="26" t="inlineStr">
        <is>
          <t>INFO</t>
        </is>
      </c>
      <c r="I294" s="26" t="inlineStr">
        <is>
          <t>DB</t>
        </is>
      </c>
      <c r="J294" s="26" t="inlineStr">
        <is>
          <t>MLSR</t>
        </is>
      </c>
      <c r="K294" s="26" t="n"/>
      <c r="L294" s="26" t="inlineStr">
        <is>
          <t>/INFO/DB/MLSR</t>
        </is>
      </c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inlineStr">
        <is>
          <t>GET</t>
        </is>
      </c>
      <c r="W294" s="26" t="n"/>
      <c r="X294" s="26" t="n"/>
    </row>
    <row r="295">
      <c r="A295" s="26" t="n"/>
      <c r="B295" s="26" t="n"/>
      <c r="C295" s="26" t="inlineStr">
        <is>
          <t>Description</t>
        </is>
      </c>
      <c r="D295" s="26" t="inlineStr">
        <is>
          <t>Description</t>
        </is>
      </c>
      <c r="E295" s="26" t="n"/>
      <c r="F295" s="26" t="n"/>
      <c r="G295" s="26" t="n"/>
      <c r="H295" s="26" t="inlineStr">
        <is>
          <t>INFO</t>
        </is>
      </c>
      <c r="I295" s="26" t="inlineStr">
        <is>
          <t>DB</t>
        </is>
      </c>
      <c r="J295" s="26" t="inlineStr">
        <is>
          <t>MRFT</t>
        </is>
      </c>
      <c r="K295" s="26" t="n"/>
      <c r="L295" s="26" t="inlineStr">
        <is>
          <t>/INFO/DB/MRFT</t>
        </is>
      </c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inlineStr">
        <is>
          <t>GET</t>
        </is>
      </c>
      <c r="W295" s="26" t="n"/>
      <c r="X295" s="26" t="n"/>
    </row>
    <row r="296">
      <c r="A296" s="26" t="n"/>
      <c r="B296" s="26" t="n"/>
      <c r="C296" s="26" t="inlineStr">
        <is>
          <t>Description</t>
        </is>
      </c>
      <c r="D296" s="26" t="inlineStr">
        <is>
          <t>Description</t>
        </is>
      </c>
      <c r="E296" s="26" t="n"/>
      <c r="F296" s="26" t="n"/>
      <c r="G296" s="26" t="n"/>
      <c r="H296" s="26" t="inlineStr">
        <is>
          <t>INFO</t>
        </is>
      </c>
      <c r="I296" s="26" t="inlineStr">
        <is>
          <t>DB</t>
        </is>
      </c>
      <c r="J296" s="26" t="inlineStr">
        <is>
          <t>MTCS</t>
        </is>
      </c>
      <c r="K296" s="26" t="n"/>
      <c r="L296" s="26" t="inlineStr">
        <is>
          <t>/INFO/DB/MTCS</t>
        </is>
      </c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inlineStr">
        <is>
          <t>GET</t>
        </is>
      </c>
      <c r="W296" s="26" t="n"/>
      <c r="X296" s="26" t="n"/>
    </row>
    <row r="297">
      <c r="A297" s="26" t="n"/>
      <c r="B297" s="26" t="n"/>
      <c r="C297" s="26" t="inlineStr">
        <is>
          <t>Description</t>
        </is>
      </c>
      <c r="D297" s="26" t="inlineStr">
        <is>
          <t>Description</t>
        </is>
      </c>
      <c r="E297" s="26" t="inlineStr">
        <is>
          <t>Moving Load Code</t>
        </is>
      </c>
      <c r="F297" s="26" t="n"/>
      <c r="G297" s="26" t="n"/>
      <c r="H297" s="26" t="inlineStr">
        <is>
          <t>INFO</t>
        </is>
      </c>
      <c r="I297" s="26" t="inlineStr">
        <is>
          <t>DB</t>
        </is>
      </c>
      <c r="J297" s="26" t="inlineStr">
        <is>
          <t>MVCD</t>
        </is>
      </c>
      <c r="K297" s="26" t="n"/>
      <c r="L297" s="26" t="inlineStr">
        <is>
          <t>/INFO/DB/MVCD</t>
        </is>
      </c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inlineStr">
        <is>
          <t>GET</t>
        </is>
      </c>
      <c r="W297" s="26" t="n"/>
      <c r="X297" s="26" t="n"/>
    </row>
    <row r="298">
      <c r="A298" s="26" t="n"/>
      <c r="B298" s="26" t="n"/>
      <c r="C298" s="26" t="inlineStr">
        <is>
          <t>Description</t>
        </is>
      </c>
      <c r="D298" s="26" t="inlineStr">
        <is>
          <t>Description</t>
        </is>
      </c>
      <c r="E298" s="26" t="inlineStr">
        <is>
          <t>Moving Load Analysis Control</t>
        </is>
      </c>
      <c r="F298" s="26" t="n"/>
      <c r="G298" s="26" t="n"/>
      <c r="H298" s="26" t="inlineStr">
        <is>
          <t>INFO</t>
        </is>
      </c>
      <c r="I298" s="26" t="inlineStr">
        <is>
          <t>DB</t>
        </is>
      </c>
      <c r="J298" s="26" t="inlineStr">
        <is>
          <t>MVCT</t>
        </is>
      </c>
      <c r="K298" s="26" t="n"/>
      <c r="L298" s="26" t="inlineStr">
        <is>
          <t>/INFO/DB/MVCT</t>
        </is>
      </c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inlineStr">
        <is>
          <t>GET</t>
        </is>
      </c>
      <c r="W298" s="26" t="n"/>
      <c r="X298" s="26" t="n"/>
    </row>
    <row r="299">
      <c r="A299" s="26" t="n"/>
      <c r="B299" s="26" t="n"/>
      <c r="C299" s="26" t="inlineStr">
        <is>
          <t>Description</t>
        </is>
      </c>
      <c r="D299" s="26" t="inlineStr">
        <is>
          <t>Description</t>
        </is>
      </c>
      <c r="E299" s="26" t="inlineStr">
        <is>
          <t>Moving Load Analysis Control - BS</t>
        </is>
      </c>
      <c r="F299" s="26" t="n"/>
      <c r="G299" s="26" t="n"/>
      <c r="H299" s="26" t="inlineStr">
        <is>
          <t>INFO</t>
        </is>
      </c>
      <c r="I299" s="26" t="inlineStr">
        <is>
          <t>DB</t>
        </is>
      </c>
      <c r="J299" s="26" t="inlineStr">
        <is>
          <t>MVCTBS</t>
        </is>
      </c>
      <c r="K299" s="26" t="n"/>
      <c r="L299" s="26" t="inlineStr">
        <is>
          <t>/INFO/DB/MVCTBS</t>
        </is>
      </c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inlineStr">
        <is>
          <t>GET</t>
        </is>
      </c>
      <c r="W299" s="26" t="n"/>
      <c r="X299" s="26" t="n"/>
    </row>
    <row r="300">
      <c r="A300" s="26" t="n"/>
      <c r="B300" s="26" t="n"/>
      <c r="C300" s="26" t="inlineStr">
        <is>
          <t>Description</t>
        </is>
      </c>
      <c r="D300" s="26" t="inlineStr">
        <is>
          <t>Description</t>
        </is>
      </c>
      <c r="E300" s="26" t="inlineStr">
        <is>
          <t>Moving Load Analysis Control - China</t>
        </is>
      </c>
      <c r="F300" s="26" t="n"/>
      <c r="G300" s="26" t="n"/>
      <c r="H300" s="26" t="inlineStr">
        <is>
          <t>INFO</t>
        </is>
      </c>
      <c r="I300" s="26" t="inlineStr">
        <is>
          <t>DB</t>
        </is>
      </c>
      <c r="J300" s="26" t="inlineStr">
        <is>
          <t>MVCTCH</t>
        </is>
      </c>
      <c r="K300" s="26" t="n"/>
      <c r="L300" s="26" t="inlineStr">
        <is>
          <t>/INFO/DB/MVCTCH</t>
        </is>
      </c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inlineStr">
        <is>
          <t>GET</t>
        </is>
      </c>
      <c r="W300" s="26" t="n"/>
      <c r="X300" s="26" t="n"/>
    </row>
    <row r="301">
      <c r="A301" s="26" t="n"/>
      <c r="B301" s="26" t="n"/>
      <c r="C301" s="26" t="inlineStr">
        <is>
          <t>Description</t>
        </is>
      </c>
      <c r="D301" s="26" t="inlineStr">
        <is>
          <t>Description</t>
        </is>
      </c>
      <c r="E301" s="26" t="inlineStr">
        <is>
          <t>Moving Load Analysis Control - India</t>
        </is>
      </c>
      <c r="F301" s="26" t="n"/>
      <c r="G301" s="26" t="n"/>
      <c r="H301" s="26" t="inlineStr">
        <is>
          <t>INFO</t>
        </is>
      </c>
      <c r="I301" s="26" t="inlineStr">
        <is>
          <t>DB</t>
        </is>
      </c>
      <c r="J301" s="26" t="inlineStr">
        <is>
          <t>MVCTID</t>
        </is>
      </c>
      <c r="K301" s="26" t="n"/>
      <c r="L301" s="26" t="inlineStr">
        <is>
          <t>/INFO/DB/MVCTID</t>
        </is>
      </c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inlineStr">
        <is>
          <t>GET</t>
        </is>
      </c>
      <c r="W301" s="26" t="n"/>
      <c r="X301" s="26" t="n"/>
    </row>
    <row r="302">
      <c r="A302" s="26" t="n"/>
      <c r="B302" s="26" t="n"/>
      <c r="C302" s="26" t="inlineStr">
        <is>
          <t>Description</t>
        </is>
      </c>
      <c r="D302" s="26" t="inlineStr">
        <is>
          <t>Description</t>
        </is>
      </c>
      <c r="E302" s="26" t="inlineStr">
        <is>
          <t>Moving Load Analysis Control - Transverse</t>
        </is>
      </c>
      <c r="F302" s="26" t="n"/>
      <c r="G302" s="26" t="n"/>
      <c r="H302" s="26" t="inlineStr">
        <is>
          <t>INFO</t>
        </is>
      </c>
      <c r="I302" s="26" t="inlineStr">
        <is>
          <t>DB</t>
        </is>
      </c>
      <c r="J302" s="26" t="inlineStr">
        <is>
          <t>MVCTTR</t>
        </is>
      </c>
      <c r="K302" s="26" t="n"/>
      <c r="L302" s="26" t="inlineStr">
        <is>
          <t>/INFO/DB/MVCTTR</t>
        </is>
      </c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inlineStr">
        <is>
          <t>GET</t>
        </is>
      </c>
      <c r="W302" s="26" t="n"/>
      <c r="X302" s="26" t="n"/>
    </row>
    <row r="303">
      <c r="A303" s="26" t="n"/>
      <c r="B303" s="26" t="n"/>
      <c r="C303" s="26" t="inlineStr">
        <is>
          <t>Description</t>
        </is>
      </c>
      <c r="D303" s="26" t="inlineStr">
        <is>
          <t>Description</t>
        </is>
      </c>
      <c r="E303" s="26" t="inlineStr">
        <is>
          <t>Vehicle Classes</t>
        </is>
      </c>
      <c r="F303" s="26" t="n"/>
      <c r="G303" s="26" t="n"/>
      <c r="H303" s="26" t="inlineStr">
        <is>
          <t>INFO</t>
        </is>
      </c>
      <c r="I303" s="26" t="inlineStr">
        <is>
          <t>DB</t>
        </is>
      </c>
      <c r="J303" s="26" t="inlineStr">
        <is>
          <t>MVHC</t>
        </is>
      </c>
      <c r="K303" s="26" t="n"/>
      <c r="L303" s="26" t="inlineStr">
        <is>
          <t>/INFO/DB/MVHC</t>
        </is>
      </c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inlineStr">
        <is>
          <t>GET</t>
        </is>
      </c>
      <c r="W303" s="26" t="n"/>
      <c r="X303" s="26" t="n"/>
    </row>
    <row r="304">
      <c r="A304" s="26" t="n"/>
      <c r="B304" s="26" t="n"/>
      <c r="C304" s="26" t="inlineStr">
        <is>
          <t>Description</t>
        </is>
      </c>
      <c r="D304" s="26" t="inlineStr">
        <is>
          <t>Description</t>
        </is>
      </c>
      <c r="E304" s="26" t="inlineStr">
        <is>
          <t>Vehicles - Taiwan</t>
        </is>
      </c>
      <c r="F304" s="26" t="n"/>
      <c r="G304" s="26" t="n"/>
      <c r="H304" s="26" t="inlineStr">
        <is>
          <t>INFO</t>
        </is>
      </c>
      <c r="I304" s="26" t="inlineStr">
        <is>
          <t>DB</t>
        </is>
      </c>
      <c r="J304" s="26" t="inlineStr">
        <is>
          <t>MVHL</t>
        </is>
      </c>
      <c r="K304" s="26" t="n"/>
      <c r="L304" s="26" t="inlineStr">
        <is>
          <t>/INFO/DB/MVHL</t>
        </is>
      </c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inlineStr">
        <is>
          <t>GET</t>
        </is>
      </c>
      <c r="W304" s="26" t="n"/>
      <c r="X304" s="26" t="n"/>
    </row>
    <row r="305">
      <c r="A305" s="26" t="n"/>
      <c r="B305" s="26" t="n"/>
      <c r="C305" s="26" t="inlineStr">
        <is>
          <t>Description</t>
        </is>
      </c>
      <c r="D305" s="26" t="inlineStr">
        <is>
          <t>Description</t>
        </is>
      </c>
      <c r="E305" s="26" t="inlineStr">
        <is>
          <t>Vehicles - Transverse</t>
        </is>
      </c>
      <c r="F305" s="26" t="n"/>
      <c r="G305" s="26" t="n"/>
      <c r="H305" s="26" t="inlineStr">
        <is>
          <t>INFO</t>
        </is>
      </c>
      <c r="I305" s="26" t="inlineStr">
        <is>
          <t>DB</t>
        </is>
      </c>
      <c r="J305" s="26" t="inlineStr">
        <is>
          <t>MVHLTR</t>
        </is>
      </c>
      <c r="K305" s="26" t="n"/>
      <c r="L305" s="26" t="inlineStr">
        <is>
          <t>/INFO/DB/MVHLTR</t>
        </is>
      </c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inlineStr">
        <is>
          <t>GET</t>
        </is>
      </c>
      <c r="W305" s="26" t="n"/>
      <c r="X305" s="26" t="n"/>
    </row>
    <row r="306">
      <c r="A306" s="26" t="n"/>
      <c r="B306" s="26" t="n"/>
      <c r="C306" s="26" t="inlineStr">
        <is>
          <t>Description</t>
        </is>
      </c>
      <c r="D306" s="26" t="inlineStr">
        <is>
          <t>Description</t>
        </is>
      </c>
      <c r="E306" s="26" t="inlineStr">
        <is>
          <t>Moving Load Cases</t>
        </is>
      </c>
      <c r="F306" s="26" t="n"/>
      <c r="G306" s="26" t="n"/>
      <c r="H306" s="26" t="inlineStr">
        <is>
          <t>INFO</t>
        </is>
      </c>
      <c r="I306" s="26" t="inlineStr">
        <is>
          <t>DB</t>
        </is>
      </c>
      <c r="J306" s="26" t="inlineStr">
        <is>
          <t>MVLD</t>
        </is>
      </c>
      <c r="K306" s="26" t="n"/>
      <c r="L306" s="26" t="inlineStr">
        <is>
          <t>/INFO/DB/MVLD</t>
        </is>
      </c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inlineStr">
        <is>
          <t>GET</t>
        </is>
      </c>
      <c r="W306" s="26" t="n"/>
      <c r="X306" s="26" t="n"/>
    </row>
    <row r="307">
      <c r="A307" s="26" t="n"/>
      <c r="B307" s="26" t="n"/>
      <c r="C307" s="26" t="inlineStr">
        <is>
          <t>Description</t>
        </is>
      </c>
      <c r="D307" s="26" t="inlineStr">
        <is>
          <t>Description</t>
        </is>
      </c>
      <c r="E307" s="26" t="inlineStr">
        <is>
          <t>Moving Load Cases - BS</t>
        </is>
      </c>
      <c r="F307" s="26" t="n"/>
      <c r="G307" s="26" t="n"/>
      <c r="H307" s="26" t="inlineStr">
        <is>
          <t>INFO</t>
        </is>
      </c>
      <c r="I307" s="26" t="inlineStr">
        <is>
          <t>DB</t>
        </is>
      </c>
      <c r="J307" s="26" t="inlineStr">
        <is>
          <t>MVLDBS</t>
        </is>
      </c>
      <c r="K307" s="26" t="n"/>
      <c r="L307" s="26" t="inlineStr">
        <is>
          <t>/INFO/DB/MVLDBS</t>
        </is>
      </c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inlineStr">
        <is>
          <t>GET</t>
        </is>
      </c>
      <c r="W307" s="26" t="n"/>
      <c r="X307" s="26" t="n"/>
    </row>
    <row r="308">
      <c r="A308" s="26" t="n"/>
      <c r="B308" s="26" t="n"/>
      <c r="C308" s="26" t="inlineStr">
        <is>
          <t>Description</t>
        </is>
      </c>
      <c r="D308" s="26" t="inlineStr">
        <is>
          <t>Description</t>
        </is>
      </c>
      <c r="E308" s="26" t="inlineStr">
        <is>
          <t>Moving Load Cases - China</t>
        </is>
      </c>
      <c r="F308" s="26" t="n"/>
      <c r="G308" s="26" t="n"/>
      <c r="H308" s="26" t="inlineStr">
        <is>
          <t>INFO</t>
        </is>
      </c>
      <c r="I308" s="26" t="inlineStr">
        <is>
          <t>DB</t>
        </is>
      </c>
      <c r="J308" s="26" t="inlineStr">
        <is>
          <t>MVLDCH</t>
        </is>
      </c>
      <c r="K308" s="26" t="n"/>
      <c r="L308" s="26" t="inlineStr">
        <is>
          <t>/INFO/DB/MVLDCH</t>
        </is>
      </c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inlineStr">
        <is>
          <t>GET</t>
        </is>
      </c>
      <c r="W308" s="26" t="n"/>
      <c r="X308" s="26" t="n"/>
    </row>
    <row r="309">
      <c r="A309" s="26" t="n"/>
      <c r="B309" s="26" t="n"/>
      <c r="C309" s="26" t="inlineStr">
        <is>
          <t>Description</t>
        </is>
      </c>
      <c r="D309" s="26" t="inlineStr">
        <is>
          <t>Description</t>
        </is>
      </c>
      <c r="E309" s="26" t="inlineStr">
        <is>
          <t>Moving Load Cases - Eurocode</t>
        </is>
      </c>
      <c r="F309" s="26" t="n"/>
      <c r="G309" s="26" t="n"/>
      <c r="H309" s="26" t="inlineStr">
        <is>
          <t>INFO</t>
        </is>
      </c>
      <c r="I309" s="26" t="inlineStr">
        <is>
          <t>DB</t>
        </is>
      </c>
      <c r="J309" s="26" t="inlineStr">
        <is>
          <t>MVLDEU</t>
        </is>
      </c>
      <c r="K309" s="26" t="n"/>
      <c r="L309" s="26" t="inlineStr">
        <is>
          <t>/INFO/DB/MVLDEU</t>
        </is>
      </c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inlineStr">
        <is>
          <t>GET</t>
        </is>
      </c>
      <c r="W309" s="26" t="n"/>
      <c r="X309" s="26" t="n"/>
    </row>
    <row r="310">
      <c r="A310" s="26" t="n"/>
      <c r="B310" s="26" t="n"/>
      <c r="C310" s="26" t="inlineStr">
        <is>
          <t>Description</t>
        </is>
      </c>
      <c r="D310" s="26" t="inlineStr">
        <is>
          <t>Description</t>
        </is>
      </c>
      <c r="E310" s="26" t="inlineStr">
        <is>
          <t>Moving Load Cases - India</t>
        </is>
      </c>
      <c r="F310" s="26" t="n"/>
      <c r="G310" s="26" t="n"/>
      <c r="H310" s="26" t="inlineStr">
        <is>
          <t>INFO</t>
        </is>
      </c>
      <c r="I310" s="26" t="inlineStr">
        <is>
          <t>DB</t>
        </is>
      </c>
      <c r="J310" s="26" t="inlineStr">
        <is>
          <t>MVLDID</t>
        </is>
      </c>
      <c r="K310" s="26" t="n"/>
      <c r="L310" s="26" t="inlineStr">
        <is>
          <t>/INFO/DB/MVLDID</t>
        </is>
      </c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inlineStr">
        <is>
          <t>GET</t>
        </is>
      </c>
      <c r="W310" s="26" t="n"/>
      <c r="X310" s="26" t="n"/>
    </row>
    <row r="311">
      <c r="A311" s="26" t="n"/>
      <c r="B311" s="26" t="n"/>
      <c r="C311" s="26" t="inlineStr">
        <is>
          <t>Description</t>
        </is>
      </c>
      <c r="D311" s="26" t="inlineStr">
        <is>
          <t>Description</t>
        </is>
      </c>
      <c r="E311" s="26" t="n"/>
      <c r="F311" s="26" t="n"/>
      <c r="G311" s="26" t="n"/>
      <c r="H311" s="26" t="inlineStr">
        <is>
          <t>INFO</t>
        </is>
      </c>
      <c r="I311" s="26" t="inlineStr">
        <is>
          <t>DB</t>
        </is>
      </c>
      <c r="J311" s="26" t="inlineStr">
        <is>
          <t>MVLDJP</t>
        </is>
      </c>
      <c r="K311" s="26" t="n"/>
      <c r="L311" s="26" t="inlineStr">
        <is>
          <t>/INFO/DB/MVLDJP</t>
        </is>
      </c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inlineStr">
        <is>
          <t>GET</t>
        </is>
      </c>
      <c r="W311" s="26" t="n"/>
      <c r="X311" s="26" t="n"/>
    </row>
    <row r="312">
      <c r="A312" s="26" t="n"/>
      <c r="B312" s="26" t="n"/>
      <c r="C312" s="26" t="inlineStr">
        <is>
          <t>Description</t>
        </is>
      </c>
      <c r="D312" s="26" t="inlineStr">
        <is>
          <t>Description</t>
        </is>
      </c>
      <c r="E312" s="26" t="inlineStr">
        <is>
          <t>Moving Load Cases - Poland</t>
        </is>
      </c>
      <c r="F312" s="26" t="n"/>
      <c r="G312" s="26" t="n"/>
      <c r="H312" s="26" t="inlineStr">
        <is>
          <t>INFO</t>
        </is>
      </c>
      <c r="I312" s="26" t="inlineStr">
        <is>
          <t>DB</t>
        </is>
      </c>
      <c r="J312" s="26" t="inlineStr">
        <is>
          <t>MVLDPL</t>
        </is>
      </c>
      <c r="K312" s="26" t="n"/>
      <c r="L312" s="26" t="inlineStr">
        <is>
          <t>/INFO/DB/MVLDPL</t>
        </is>
      </c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inlineStr">
        <is>
          <t>GET</t>
        </is>
      </c>
      <c r="W312" s="26" t="n"/>
      <c r="X312" s="26" t="n"/>
    </row>
    <row r="313">
      <c r="A313" s="26" t="n"/>
      <c r="B313" s="26" t="n"/>
      <c r="C313" s="26" t="inlineStr">
        <is>
          <t>Description</t>
        </is>
      </c>
      <c r="D313" s="26" t="inlineStr">
        <is>
          <t>Description</t>
        </is>
      </c>
      <c r="E313" s="26" t="inlineStr">
        <is>
          <t>Moving Load Cases - Transverse</t>
        </is>
      </c>
      <c r="F313" s="26" t="n"/>
      <c r="G313" s="26" t="n"/>
      <c r="H313" s="26" t="inlineStr">
        <is>
          <t>INFO</t>
        </is>
      </c>
      <c r="I313" s="26" t="inlineStr">
        <is>
          <t>DB</t>
        </is>
      </c>
      <c r="J313" s="26" t="inlineStr">
        <is>
          <t>MVLDTR</t>
        </is>
      </c>
      <c r="K313" s="26" t="n"/>
      <c r="L313" s="26" t="inlineStr">
        <is>
          <t>/INFO/DB/MVLDTR</t>
        </is>
      </c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inlineStr">
        <is>
          <t>GET</t>
        </is>
      </c>
      <c r="W313" s="26" t="n"/>
      <c r="X313" s="26" t="n"/>
    </row>
    <row r="314">
      <c r="A314" s="26" t="n"/>
      <c r="B314" s="26" t="n"/>
      <c r="C314" s="26" t="inlineStr">
        <is>
          <t>Description</t>
        </is>
      </c>
      <c r="D314" s="26" t="inlineStr">
        <is>
          <t>Description</t>
        </is>
      </c>
      <c r="E314" s="26" t="inlineStr">
        <is>
          <t>Nodal Body Force</t>
        </is>
      </c>
      <c r="F314" s="26" t="n"/>
      <c r="G314" s="26" t="n"/>
      <c r="H314" s="26" t="inlineStr">
        <is>
          <t>INFO</t>
        </is>
      </c>
      <c r="I314" s="26" t="inlineStr">
        <is>
          <t>DB</t>
        </is>
      </c>
      <c r="J314" s="26" t="inlineStr">
        <is>
          <t>NBOF</t>
        </is>
      </c>
      <c r="K314" s="26" t="n"/>
      <c r="L314" s="26" t="inlineStr">
        <is>
          <t>/INFO/DB/NBOF</t>
        </is>
      </c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inlineStr">
        <is>
          <t>GET</t>
        </is>
      </c>
      <c r="W314" s="26" t="n"/>
      <c r="X314" s="26" t="n"/>
    </row>
    <row r="315">
      <c r="A315" s="26" t="n"/>
      <c r="B315" s="26" t="n"/>
      <c r="C315" s="26" t="inlineStr">
        <is>
          <t>Description</t>
        </is>
      </c>
      <c r="D315" s="26" t="inlineStr">
        <is>
          <t>Description</t>
        </is>
      </c>
      <c r="E315" s="26" t="inlineStr">
        <is>
          <t>Nonlinear Analysis Control Data</t>
        </is>
      </c>
      <c r="F315" s="26" t="n"/>
      <c r="G315" s="26" t="n"/>
      <c r="H315" s="26" t="inlineStr">
        <is>
          <t>INFO</t>
        </is>
      </c>
      <c r="I315" s="26" t="inlineStr">
        <is>
          <t>DB</t>
        </is>
      </c>
      <c r="J315" s="26" t="inlineStr">
        <is>
          <t>NLCT</t>
        </is>
      </c>
      <c r="K315" s="26" t="n"/>
      <c r="L315" s="26" t="inlineStr">
        <is>
          <t>/INFO/DB/NLCT</t>
        </is>
      </c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inlineStr">
        <is>
          <t>GET</t>
        </is>
      </c>
      <c r="W315" s="26" t="n"/>
      <c r="X315" s="26" t="n"/>
    </row>
    <row r="316">
      <c r="A316" s="26" t="n"/>
      <c r="B316" s="26" t="n"/>
      <c r="C316" s="26" t="inlineStr">
        <is>
          <t>Description</t>
        </is>
      </c>
      <c r="D316" s="26" t="inlineStr">
        <is>
          <t>Description</t>
        </is>
      </c>
      <c r="E316" s="26" t="inlineStr">
        <is>
          <t>General Link Properties</t>
        </is>
      </c>
      <c r="F316" s="26" t="n"/>
      <c r="G316" s="26" t="n"/>
      <c r="H316" s="26" t="inlineStr">
        <is>
          <t>INFO</t>
        </is>
      </c>
      <c r="I316" s="26" t="inlineStr">
        <is>
          <t>DB</t>
        </is>
      </c>
      <c r="J316" s="26" t="inlineStr">
        <is>
          <t>NLLP</t>
        </is>
      </c>
      <c r="K316" s="26" t="n"/>
      <c r="L316" s="26" t="inlineStr">
        <is>
          <t>/INFO/DB/NLLP</t>
        </is>
      </c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inlineStr">
        <is>
          <t>GET</t>
        </is>
      </c>
      <c r="W316" s="26" t="n"/>
      <c r="X316" s="26" t="n"/>
    </row>
    <row r="317">
      <c r="A317" s="26" t="n"/>
      <c r="B317" s="26" t="n"/>
      <c r="C317" s="26" t="inlineStr">
        <is>
          <t>Description</t>
        </is>
      </c>
      <c r="D317" s="26" t="inlineStr">
        <is>
          <t>Description</t>
        </is>
      </c>
      <c r="E317" s="26" t="inlineStr">
        <is>
          <t>General Link</t>
        </is>
      </c>
      <c r="F317" s="26" t="n"/>
      <c r="G317" s="26" t="n"/>
      <c r="H317" s="26" t="inlineStr">
        <is>
          <t>INFO</t>
        </is>
      </c>
      <c r="I317" s="26" t="inlineStr">
        <is>
          <t>DB</t>
        </is>
      </c>
      <c r="J317" s="26" t="inlineStr">
        <is>
          <t>NLNK</t>
        </is>
      </c>
      <c r="K317" s="26" t="n"/>
      <c r="L317" s="26" t="inlineStr">
        <is>
          <t>/INFO/DB/NLNK</t>
        </is>
      </c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inlineStr">
        <is>
          <t>GET</t>
        </is>
      </c>
      <c r="W317" s="26" t="n"/>
      <c r="X317" s="26" t="n"/>
    </row>
    <row r="318">
      <c r="A318" s="26" t="n"/>
      <c r="B318" s="26" t="n"/>
      <c r="C318" s="26" t="inlineStr">
        <is>
          <t>Description</t>
        </is>
      </c>
      <c r="D318" s="26" t="inlineStr">
        <is>
          <t>Description</t>
        </is>
      </c>
      <c r="E318" s="26" t="inlineStr">
        <is>
          <t>Nodal Masses</t>
        </is>
      </c>
      <c r="F318" s="26" t="n"/>
      <c r="G318" s="26" t="n"/>
      <c r="H318" s="26" t="inlineStr">
        <is>
          <t>INFO</t>
        </is>
      </c>
      <c r="I318" s="26" t="inlineStr">
        <is>
          <t>DB</t>
        </is>
      </c>
      <c r="J318" s="26" t="inlineStr">
        <is>
          <t>NMAS</t>
        </is>
      </c>
      <c r="K318" s="26" t="n"/>
      <c r="L318" s="26" t="inlineStr">
        <is>
          <t>/INFO/DB/NMAS</t>
        </is>
      </c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inlineStr">
        <is>
          <t>GET</t>
        </is>
      </c>
      <c r="W318" s="26" t="n"/>
      <c r="X318" s="26" t="n"/>
    </row>
    <row r="319">
      <c r="A319" s="26" t="n"/>
      <c r="B319" s="26" t="n"/>
      <c r="C319" s="26" t="inlineStr">
        <is>
          <t>Description</t>
        </is>
      </c>
      <c r="D319" s="26" t="inlineStr">
        <is>
          <t>Description</t>
        </is>
      </c>
      <c r="E319" s="26" t="inlineStr">
        <is>
          <t>Node</t>
        </is>
      </c>
      <c r="F319" s="26" t="n"/>
      <c r="G319" s="26" t="n"/>
      <c r="H319" s="26" t="inlineStr">
        <is>
          <t>INFO</t>
        </is>
      </c>
      <c r="I319" s="26" t="inlineStr">
        <is>
          <t>DB</t>
        </is>
      </c>
      <c r="J319" s="26" t="inlineStr">
        <is>
          <t>NODE</t>
        </is>
      </c>
      <c r="K319" s="26" t="n"/>
      <c r="L319" s="26" t="inlineStr">
        <is>
          <t>/INFO/DB/NODE</t>
        </is>
      </c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inlineStr">
        <is>
          <t>GET</t>
        </is>
      </c>
      <c r="W319" s="26" t="n"/>
      <c r="X319" s="26" t="n"/>
    </row>
    <row r="320">
      <c r="A320" s="26" t="n"/>
      <c r="B320" s="26" t="n"/>
      <c r="C320" s="26" t="inlineStr">
        <is>
          <t>Description</t>
        </is>
      </c>
      <c r="D320" s="26" t="inlineStr">
        <is>
          <t>Description</t>
        </is>
      </c>
      <c r="E320" s="26" t="inlineStr">
        <is>
          <t>Named Plane</t>
        </is>
      </c>
      <c r="F320" s="26" t="n"/>
      <c r="G320" s="26" t="n"/>
      <c r="H320" s="26" t="inlineStr">
        <is>
          <t>INFO</t>
        </is>
      </c>
      <c r="I320" s="26" t="inlineStr">
        <is>
          <t>DB</t>
        </is>
      </c>
      <c r="J320" s="26" t="inlineStr">
        <is>
          <t>NPLN</t>
        </is>
      </c>
      <c r="K320" s="26" t="n"/>
      <c r="L320" s="26" t="inlineStr">
        <is>
          <t>/INFO/DB/NPLN</t>
        </is>
      </c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inlineStr">
        <is>
          <t>GET</t>
        </is>
      </c>
      <c r="W320" s="26" t="n"/>
      <c r="X320" s="26" t="n"/>
    </row>
    <row r="321">
      <c r="A321" s="26" t="n"/>
      <c r="B321" s="26" t="n"/>
      <c r="C321" s="26" t="inlineStr">
        <is>
          <t>Description</t>
        </is>
      </c>
      <c r="D321" s="26" t="inlineStr">
        <is>
          <t>Description</t>
        </is>
      </c>
      <c r="E321" s="26" t="inlineStr">
        <is>
          <t>Point Spring</t>
        </is>
      </c>
      <c r="F321" s="26" t="n"/>
      <c r="G321" s="26" t="n"/>
      <c r="H321" s="26" t="inlineStr">
        <is>
          <t>INFO</t>
        </is>
      </c>
      <c r="I321" s="26" t="inlineStr">
        <is>
          <t>DB</t>
        </is>
      </c>
      <c r="J321" s="26" t="inlineStr">
        <is>
          <t>NSPR</t>
        </is>
      </c>
      <c r="K321" s="26" t="n"/>
      <c r="L321" s="26" t="inlineStr">
        <is>
          <t>/INFO/DB/NSPR</t>
        </is>
      </c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inlineStr">
        <is>
          <t>GET</t>
        </is>
      </c>
      <c r="W321" s="26" t="n"/>
      <c r="X321" s="26" t="n"/>
    </row>
    <row r="322">
      <c r="A322" s="26" t="n"/>
      <c r="B322" s="26" t="n"/>
      <c r="C322" s="26" t="inlineStr">
        <is>
          <t>Description</t>
        </is>
      </c>
      <c r="D322" s="26" t="inlineStr">
        <is>
          <t>Description</t>
        </is>
      </c>
      <c r="E322" s="26" t="inlineStr">
        <is>
          <t>Nodal Temperature</t>
        </is>
      </c>
      <c r="F322" s="26" t="n"/>
      <c r="G322" s="26" t="n"/>
      <c r="H322" s="26" t="inlineStr">
        <is>
          <t>INFO</t>
        </is>
      </c>
      <c r="I322" s="26" t="inlineStr">
        <is>
          <t>DB</t>
        </is>
      </c>
      <c r="J322" s="26" t="inlineStr">
        <is>
          <t>NTMP</t>
        </is>
      </c>
      <c r="K322" s="26" t="n"/>
      <c r="L322" s="26" t="inlineStr">
        <is>
          <t>/INFO/DB/NTMP</t>
        </is>
      </c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inlineStr">
        <is>
          <t>GET</t>
        </is>
      </c>
      <c r="W322" s="26" t="n"/>
      <c r="X322" s="26" t="n"/>
    </row>
    <row r="323">
      <c r="A323" s="26" t="n"/>
      <c r="B323" s="26" t="n"/>
      <c r="C323" s="26" t="inlineStr">
        <is>
          <t>Description</t>
        </is>
      </c>
      <c r="D323" s="26" t="inlineStr">
        <is>
          <t>Description</t>
        </is>
      </c>
      <c r="E323" s="26" t="n"/>
      <c r="F323" s="26" t="n"/>
      <c r="G323" s="26" t="n"/>
      <c r="H323" s="26" t="inlineStr">
        <is>
          <t>INFO</t>
        </is>
      </c>
      <c r="I323" s="26" t="inlineStr">
        <is>
          <t>DB</t>
        </is>
      </c>
      <c r="J323" s="26" t="inlineStr">
        <is>
          <t>NUCS</t>
        </is>
      </c>
      <c r="K323" s="26" t="n"/>
      <c r="L323" s="26" t="inlineStr">
        <is>
          <t>/INFO/DB/NUCS</t>
        </is>
      </c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inlineStr">
        <is>
          <t>GET</t>
        </is>
      </c>
      <c r="W323" s="26" t="n"/>
      <c r="X323" s="26" t="n"/>
    </row>
    <row r="324">
      <c r="A324" s="26" t="n"/>
      <c r="B324" s="26" t="n"/>
      <c r="C324" s="26" t="inlineStr">
        <is>
          <t>Description</t>
        </is>
      </c>
      <c r="D324" s="26" t="inlineStr">
        <is>
          <t>Description</t>
        </is>
      </c>
      <c r="E324" s="26" t="inlineStr">
        <is>
          <t>Beam End Offsets</t>
        </is>
      </c>
      <c r="F324" s="26" t="n"/>
      <c r="G324" s="26" t="n"/>
      <c r="H324" s="26" t="inlineStr">
        <is>
          <t>INFO</t>
        </is>
      </c>
      <c r="I324" s="26" t="inlineStr">
        <is>
          <t>DB</t>
        </is>
      </c>
      <c r="J324" s="26" t="inlineStr">
        <is>
          <t>OFFS</t>
        </is>
      </c>
      <c r="K324" s="26" t="n"/>
      <c r="L324" s="26" t="inlineStr">
        <is>
          <t>/INFO/DB/OFFS</t>
        </is>
      </c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inlineStr">
        <is>
          <t>GET</t>
        </is>
      </c>
      <c r="W324" s="26" t="n"/>
      <c r="X324" s="26" t="n"/>
    </row>
    <row r="325">
      <c r="A325" s="26" t="n"/>
      <c r="B325" s="26" t="n"/>
      <c r="C325" s="26" t="inlineStr">
        <is>
          <t>Description</t>
        </is>
      </c>
      <c r="D325" s="26" t="inlineStr">
        <is>
          <t>Description</t>
        </is>
      </c>
      <c r="E325" s="26" t="inlineStr">
        <is>
          <t>P-Delta Analysis Control</t>
        </is>
      </c>
      <c r="F325" s="26" t="n"/>
      <c r="G325" s="26" t="n"/>
      <c r="H325" s="26" t="inlineStr">
        <is>
          <t>INFO</t>
        </is>
      </c>
      <c r="I325" s="26" t="inlineStr">
        <is>
          <t>DB</t>
        </is>
      </c>
      <c r="J325" s="26" t="inlineStr">
        <is>
          <t>PDEL</t>
        </is>
      </c>
      <c r="K325" s="26" t="n"/>
      <c r="L325" s="26" t="inlineStr">
        <is>
          <t>/INFO/DB/PDEL</t>
        </is>
      </c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inlineStr">
        <is>
          <t>GET</t>
        </is>
      </c>
      <c r="W325" s="26" t="n"/>
      <c r="X325" s="26" t="n"/>
    </row>
    <row r="326">
      <c r="A326" s="26" t="n"/>
      <c r="B326" s="26" t="n"/>
      <c r="C326" s="26" t="inlineStr">
        <is>
          <t>Description</t>
        </is>
      </c>
      <c r="D326" s="26" t="inlineStr">
        <is>
          <t>Description</t>
        </is>
      </c>
      <c r="E326" s="26" t="inlineStr">
        <is>
          <t>Assign Pushover Hinge Properties</t>
        </is>
      </c>
      <c r="F326" s="26" t="n"/>
      <c r="G326" s="26" t="n"/>
      <c r="H326" s="26" t="inlineStr">
        <is>
          <t>INFO</t>
        </is>
      </c>
      <c r="I326" s="26" t="inlineStr">
        <is>
          <t>DB</t>
        </is>
      </c>
      <c r="J326" s="26" t="inlineStr">
        <is>
          <t>PHGE</t>
        </is>
      </c>
      <c r="K326" s="26" t="n"/>
      <c r="L326" s="26" t="inlineStr">
        <is>
          <t>/INFO/DB/PHGE</t>
        </is>
      </c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inlineStr">
        <is>
          <t>GET</t>
        </is>
      </c>
      <c r="W326" s="26" t="n"/>
      <c r="X326" s="26" t="n"/>
    </row>
    <row r="327">
      <c r="A327" s="26" t="n"/>
      <c r="B327" s="26" t="n"/>
      <c r="C327" s="26" t="inlineStr">
        <is>
          <t>Description</t>
        </is>
      </c>
      <c r="D327" s="26" t="inlineStr">
        <is>
          <t>Description</t>
        </is>
      </c>
      <c r="E327" s="26" t="n"/>
      <c r="F327" s="26" t="n"/>
      <c r="G327" s="26" t="n"/>
      <c r="H327" s="26" t="inlineStr">
        <is>
          <t>INFO</t>
        </is>
      </c>
      <c r="I327" s="26" t="inlineStr">
        <is>
          <t>DB</t>
        </is>
      </c>
      <c r="J327" s="26" t="inlineStr">
        <is>
          <t>PHGT</t>
        </is>
      </c>
      <c r="K327" s="26" t="n"/>
      <c r="L327" s="26" t="inlineStr">
        <is>
          <t>/INFO/DB/PHGT</t>
        </is>
      </c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inlineStr">
        <is>
          <t>GET</t>
        </is>
      </c>
      <c r="W327" s="26" t="n"/>
      <c r="X327" s="26" t="n"/>
    </row>
    <row r="328">
      <c r="A328" s="26" t="n"/>
      <c r="B328" s="26" t="n"/>
      <c r="C328" s="26" t="inlineStr">
        <is>
          <t>Description</t>
        </is>
      </c>
      <c r="D328" s="26" t="inlineStr">
        <is>
          <t>Description</t>
        </is>
      </c>
      <c r="E328" s="26" t="inlineStr">
        <is>
          <t>Project Information</t>
        </is>
      </c>
      <c r="F328" s="26" t="n"/>
      <c r="G328" s="26" t="n"/>
      <c r="H328" s="26" t="inlineStr">
        <is>
          <t>INFO</t>
        </is>
      </c>
      <c r="I328" s="26" t="inlineStr">
        <is>
          <t>DB</t>
        </is>
      </c>
      <c r="J328" s="26" t="inlineStr">
        <is>
          <t>PJCF</t>
        </is>
      </c>
      <c r="K328" s="26" t="n"/>
      <c r="L328" s="26" t="inlineStr">
        <is>
          <t>/INFO/DB/PJCF</t>
        </is>
      </c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inlineStr">
        <is>
          <t>GET</t>
        </is>
      </c>
      <c r="W328" s="26" t="n"/>
      <c r="X328" s="26" t="n"/>
    </row>
    <row r="329">
      <c r="A329" s="26" t="n"/>
      <c r="B329" s="26" t="n"/>
      <c r="C329" s="26" t="inlineStr">
        <is>
          <t>Description</t>
        </is>
      </c>
      <c r="D329" s="26" t="inlineStr">
        <is>
          <t>Description</t>
        </is>
      </c>
      <c r="E329" s="26" t="inlineStr">
        <is>
          <t>Pre-composite Section</t>
        </is>
      </c>
      <c r="F329" s="26" t="n"/>
      <c r="G329" s="26" t="n"/>
      <c r="H329" s="26" t="inlineStr">
        <is>
          <t>INFO</t>
        </is>
      </c>
      <c r="I329" s="26" t="inlineStr">
        <is>
          <t>DB</t>
        </is>
      </c>
      <c r="J329" s="26" t="inlineStr">
        <is>
          <t>PLCB</t>
        </is>
      </c>
      <c r="K329" s="26" t="n"/>
      <c r="L329" s="26" t="inlineStr">
        <is>
          <t>/INFO/DB/PLCB</t>
        </is>
      </c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inlineStr">
        <is>
          <t>GET</t>
        </is>
      </c>
      <c r="W329" s="26" t="n"/>
      <c r="X329" s="26" t="n"/>
    </row>
    <row r="330">
      <c r="A330" s="26" t="n"/>
      <c r="B330" s="26" t="n"/>
      <c r="C330" s="26" t="inlineStr">
        <is>
          <t>Description</t>
        </is>
      </c>
      <c r="D330" s="26" t="inlineStr">
        <is>
          <t>Description</t>
        </is>
      </c>
      <c r="E330" s="26" t="inlineStr">
        <is>
          <t>Assign Plane Loads</t>
        </is>
      </c>
      <c r="F330" s="26" t="n"/>
      <c r="G330" s="26" t="n"/>
      <c r="H330" s="26" t="inlineStr">
        <is>
          <t>INFO</t>
        </is>
      </c>
      <c r="I330" s="26" t="inlineStr">
        <is>
          <t>DB</t>
        </is>
      </c>
      <c r="J330" s="26" t="inlineStr">
        <is>
          <t>PNLA</t>
        </is>
      </c>
      <c r="K330" s="26" t="n"/>
      <c r="L330" s="26" t="inlineStr">
        <is>
          <t>/INFO/DB/PNLA</t>
        </is>
      </c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inlineStr">
        <is>
          <t>GET</t>
        </is>
      </c>
      <c r="W330" s="26" t="n"/>
      <c r="X330" s="26" t="n"/>
    </row>
    <row r="331">
      <c r="A331" s="26" t="n"/>
      <c r="B331" s="26" t="n"/>
      <c r="C331" s="26" t="inlineStr">
        <is>
          <t>Description</t>
        </is>
      </c>
      <c r="D331" s="26" t="inlineStr">
        <is>
          <t>Description</t>
        </is>
      </c>
      <c r="E331" s="26" t="inlineStr">
        <is>
          <t>Define Plane Load Type</t>
        </is>
      </c>
      <c r="F331" s="26" t="n"/>
      <c r="G331" s="26" t="n"/>
      <c r="H331" s="26" t="inlineStr">
        <is>
          <t>INFO</t>
        </is>
      </c>
      <c r="I331" s="26" t="inlineStr">
        <is>
          <t>DB</t>
        </is>
      </c>
      <c r="J331" s="26" t="inlineStr">
        <is>
          <t>PNLD</t>
        </is>
      </c>
      <c r="K331" s="26" t="n"/>
      <c r="L331" s="26" t="inlineStr">
        <is>
          <t>/INFO/DB/PNLD</t>
        </is>
      </c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inlineStr">
        <is>
          <t>GET</t>
        </is>
      </c>
      <c r="W331" s="26" t="n"/>
      <c r="X331" s="26" t="n"/>
    </row>
    <row r="332">
      <c r="A332" s="26" t="n"/>
      <c r="B332" s="26" t="n"/>
      <c r="C332" s="26" t="inlineStr">
        <is>
          <t>Description</t>
        </is>
      </c>
      <c r="D332" s="26" t="inlineStr">
        <is>
          <t>Description</t>
        </is>
      </c>
      <c r="E332" s="26" t="inlineStr">
        <is>
          <t>Pushover Analysis Control Data</t>
        </is>
      </c>
      <c r="F332" s="26" t="n"/>
      <c r="G332" s="26" t="n"/>
      <c r="H332" s="26" t="inlineStr">
        <is>
          <t>INFO</t>
        </is>
      </c>
      <c r="I332" s="26" t="inlineStr">
        <is>
          <t>DB</t>
        </is>
      </c>
      <c r="J332" s="26" t="inlineStr">
        <is>
          <t>POGD</t>
        </is>
      </c>
      <c r="K332" s="26" t="n"/>
      <c r="L332" s="26" t="inlineStr">
        <is>
          <t>/INFO/DB/POGD</t>
        </is>
      </c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inlineStr">
        <is>
          <t>GET</t>
        </is>
      </c>
      <c r="W332" s="26" t="n"/>
      <c r="X332" s="26" t="n"/>
    </row>
    <row r="333">
      <c r="A333" s="26" t="n"/>
      <c r="B333" s="26" t="n"/>
      <c r="C333" s="26" t="inlineStr">
        <is>
          <t>Description</t>
        </is>
      </c>
      <c r="D333" s="26" t="inlineStr">
        <is>
          <t>Description</t>
        </is>
      </c>
      <c r="E333" s="26" t="inlineStr">
        <is>
          <t>Pushover Load Cases</t>
        </is>
      </c>
      <c r="F333" s="26" t="n"/>
      <c r="G333" s="26" t="n"/>
      <c r="H333" s="26" t="inlineStr">
        <is>
          <t>INFO</t>
        </is>
      </c>
      <c r="I333" s="26" t="inlineStr">
        <is>
          <t>DB</t>
        </is>
      </c>
      <c r="J333" s="26" t="inlineStr">
        <is>
          <t>POLC</t>
        </is>
      </c>
      <c r="K333" s="26" t="n"/>
      <c r="L333" s="26" t="inlineStr">
        <is>
          <t>/INFO/DB/POLC</t>
        </is>
      </c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inlineStr">
        <is>
          <t>GET</t>
        </is>
      </c>
      <c r="W333" s="26" t="n"/>
      <c r="X333" s="26" t="n"/>
    </row>
    <row r="334">
      <c r="A334" s="26" t="n"/>
      <c r="B334" s="26" t="n"/>
      <c r="C334" s="26" t="inlineStr">
        <is>
          <t>Description</t>
        </is>
      </c>
      <c r="D334" s="26" t="inlineStr">
        <is>
          <t>Description</t>
        </is>
      </c>
      <c r="E334" s="26" t="inlineStr">
        <is>
          <t>Parameter of Seismic Loads</t>
        </is>
      </c>
      <c r="F334" s="26" t="n"/>
      <c r="G334" s="26" t="n"/>
      <c r="H334" s="26" t="inlineStr">
        <is>
          <t>INFO</t>
        </is>
      </c>
      <c r="I334" s="26" t="inlineStr">
        <is>
          <t>DB</t>
        </is>
      </c>
      <c r="J334" s="26" t="inlineStr">
        <is>
          <t>POSL</t>
        </is>
      </c>
      <c r="K334" s="26" t="n"/>
      <c r="L334" s="26" t="inlineStr">
        <is>
          <t>/INFO/DB/POSL</t>
        </is>
      </c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inlineStr">
        <is>
          <t>GET</t>
        </is>
      </c>
      <c r="W334" s="26" t="n"/>
      <c r="X334" s="26" t="n"/>
    </row>
    <row r="335">
      <c r="A335" s="26" t="n"/>
      <c r="B335" s="26" t="n"/>
      <c r="C335" s="26" t="inlineStr">
        <is>
          <t>Description</t>
        </is>
      </c>
      <c r="D335" s="26" t="inlineStr">
        <is>
          <t>Description</t>
        </is>
      </c>
      <c r="E335" s="26" t="inlineStr">
        <is>
          <t>Assign Pressure Loads</t>
        </is>
      </c>
      <c r="F335" s="26" t="n"/>
      <c r="G335" s="26" t="n"/>
      <c r="H335" s="26" t="inlineStr">
        <is>
          <t>INFO</t>
        </is>
      </c>
      <c r="I335" s="26" t="inlineStr">
        <is>
          <t>DB</t>
        </is>
      </c>
      <c r="J335" s="26" t="inlineStr">
        <is>
          <t>PRES</t>
        </is>
      </c>
      <c r="K335" s="26" t="n"/>
      <c r="L335" s="26" t="inlineStr">
        <is>
          <t>/INFO/DB/PRES</t>
        </is>
      </c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inlineStr">
        <is>
          <t>GET</t>
        </is>
      </c>
      <c r="W335" s="26" t="n"/>
      <c r="X335" s="26" t="n"/>
    </row>
    <row r="336">
      <c r="A336" s="26" t="n"/>
      <c r="B336" s="26" t="n"/>
      <c r="C336" s="26" t="inlineStr">
        <is>
          <t>Description</t>
        </is>
      </c>
      <c r="D336" s="26" t="inlineStr">
        <is>
          <t>Description</t>
        </is>
      </c>
      <c r="E336" s="26" t="inlineStr">
        <is>
          <t>Plate End Release</t>
        </is>
      </c>
      <c r="F336" s="26" t="n"/>
      <c r="G336" s="26" t="n"/>
      <c r="H336" s="26" t="inlineStr">
        <is>
          <t>INFO</t>
        </is>
      </c>
      <c r="I336" s="26" t="inlineStr">
        <is>
          <t>DB</t>
        </is>
      </c>
      <c r="J336" s="26" t="inlineStr">
        <is>
          <t>PRLS</t>
        </is>
      </c>
      <c r="K336" s="26" t="n"/>
      <c r="L336" s="26" t="inlineStr">
        <is>
          <t>/INFO/DB/PRLS</t>
        </is>
      </c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inlineStr">
        <is>
          <t>GET</t>
        </is>
      </c>
      <c r="W336" s="26" t="n"/>
      <c r="X336" s="26" t="n"/>
    </row>
    <row r="337">
      <c r="A337" s="26" t="n"/>
      <c r="B337" s="26" t="n"/>
      <c r="C337" s="26" t="inlineStr">
        <is>
          <t>Description</t>
        </is>
      </c>
      <c r="D337" s="26" t="inlineStr">
        <is>
          <t>Description</t>
        </is>
      </c>
      <c r="E337" s="26" t="inlineStr">
        <is>
          <t>Prestress Beam Loads</t>
        </is>
      </c>
      <c r="F337" s="26" t="n"/>
      <c r="G337" s="26" t="n"/>
      <c r="H337" s="26" t="inlineStr">
        <is>
          <t>INFO</t>
        </is>
      </c>
      <c r="I337" s="26" t="inlineStr">
        <is>
          <t>DB</t>
        </is>
      </c>
      <c r="J337" s="26" t="inlineStr">
        <is>
          <t>PRST</t>
        </is>
      </c>
      <c r="K337" s="26" t="n"/>
      <c r="L337" s="26" t="inlineStr">
        <is>
          <t>/INFO/DB/PRST</t>
        </is>
      </c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inlineStr">
        <is>
          <t>GET</t>
        </is>
      </c>
      <c r="W337" s="26" t="n"/>
      <c r="X337" s="26" t="n"/>
    </row>
    <row r="338">
      <c r="A338" s="26" t="n"/>
      <c r="B338" s="26" t="n"/>
      <c r="C338" s="26" t="inlineStr">
        <is>
          <t>Description</t>
        </is>
      </c>
      <c r="D338" s="26" t="inlineStr">
        <is>
          <t>Description</t>
        </is>
      </c>
      <c r="E338" s="26" t="inlineStr">
        <is>
          <t>Define Pressure Load Type</t>
        </is>
      </c>
      <c r="F338" s="26" t="n"/>
      <c r="G338" s="26" t="n"/>
      <c r="H338" s="26" t="inlineStr">
        <is>
          <t>INFO</t>
        </is>
      </c>
      <c r="I338" s="26" t="inlineStr">
        <is>
          <t>DB</t>
        </is>
      </c>
      <c r="J338" s="26" t="inlineStr">
        <is>
          <t>PSLT</t>
        </is>
      </c>
      <c r="K338" s="26" t="n"/>
      <c r="L338" s="26" t="inlineStr">
        <is>
          <t>/INFO/DB/PSLT</t>
        </is>
      </c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inlineStr">
        <is>
          <t>GET</t>
        </is>
      </c>
      <c r="W338" s="26" t="n"/>
      <c r="X338" s="26" t="n"/>
    </row>
    <row r="339">
      <c r="A339" s="26" t="n"/>
      <c r="B339" s="26" t="n"/>
      <c r="C339" s="26" t="inlineStr">
        <is>
          <t>Description</t>
        </is>
      </c>
      <c r="D339" s="26" t="inlineStr">
        <is>
          <t>Description</t>
        </is>
      </c>
      <c r="E339" s="26" t="inlineStr">
        <is>
          <t>Section Manager - Plate Stiffness Scale Factor</t>
        </is>
      </c>
      <c r="F339" s="26" t="n"/>
      <c r="G339" s="26" t="n"/>
      <c r="H339" s="26" t="inlineStr">
        <is>
          <t>INFO</t>
        </is>
      </c>
      <c r="I339" s="26" t="inlineStr">
        <is>
          <t>DB</t>
        </is>
      </c>
      <c r="J339" s="26" t="inlineStr">
        <is>
          <t>PSSF</t>
        </is>
      </c>
      <c r="K339" s="26" t="n"/>
      <c r="L339" s="26" t="inlineStr">
        <is>
          <t>/INFO/DB/PSSF</t>
        </is>
      </c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inlineStr">
        <is>
          <t>GET</t>
        </is>
      </c>
      <c r="W339" s="26" t="n"/>
      <c r="X339" s="26" t="n"/>
    </row>
    <row r="340">
      <c r="A340" s="26" t="n"/>
      <c r="B340" s="26" t="n"/>
      <c r="C340" s="26" t="inlineStr">
        <is>
          <t>Description</t>
        </is>
      </c>
      <c r="D340" s="26" t="inlineStr">
        <is>
          <t>Description</t>
        </is>
      </c>
      <c r="E340" s="26" t="inlineStr">
        <is>
          <t>Pretension Loads</t>
        </is>
      </c>
      <c r="F340" s="26" t="n"/>
      <c r="G340" s="26" t="n"/>
      <c r="H340" s="26" t="inlineStr">
        <is>
          <t>INFO</t>
        </is>
      </c>
      <c r="I340" s="26" t="inlineStr">
        <is>
          <t>DB</t>
        </is>
      </c>
      <c r="J340" s="26" t="inlineStr">
        <is>
          <t>PTNS</t>
        </is>
      </c>
      <c r="K340" s="26" t="n"/>
      <c r="L340" s="26" t="inlineStr">
        <is>
          <t>/INFO/DB/PTNS</t>
        </is>
      </c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inlineStr">
        <is>
          <t>GET</t>
        </is>
      </c>
      <c r="W340" s="26" t="n"/>
      <c r="X340" s="26" t="n"/>
    </row>
    <row r="341">
      <c r="A341" s="26" t="n"/>
      <c r="B341" s="26" t="n"/>
      <c r="C341" s="26" t="inlineStr">
        <is>
          <t>Description</t>
        </is>
      </c>
      <c r="D341" s="26" t="inlineStr">
        <is>
          <t>Description</t>
        </is>
      </c>
      <c r="E341" s="26" t="inlineStr">
        <is>
          <t>Panel Zone Effects</t>
        </is>
      </c>
      <c r="F341" s="26" t="n"/>
      <c r="G341" s="26" t="n"/>
      <c r="H341" s="26" t="inlineStr">
        <is>
          <t>INFO</t>
        </is>
      </c>
      <c r="I341" s="26" t="inlineStr">
        <is>
          <t>DB</t>
        </is>
      </c>
      <c r="J341" s="26" t="inlineStr">
        <is>
          <t>PZEF</t>
        </is>
      </c>
      <c r="K341" s="26" t="n"/>
      <c r="L341" s="26" t="inlineStr">
        <is>
          <t>/INFO/DB/PZEF</t>
        </is>
      </c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inlineStr">
        <is>
          <t>GET</t>
        </is>
      </c>
      <c r="W341" s="26" t="n"/>
      <c r="X341" s="26" t="n"/>
    </row>
    <row r="342">
      <c r="A342" s="26" t="n"/>
      <c r="B342" s="26" t="n"/>
      <c r="C342" s="26" t="inlineStr">
        <is>
          <t>Description</t>
        </is>
      </c>
      <c r="D342" s="26" t="inlineStr">
        <is>
          <t>Description</t>
        </is>
      </c>
      <c r="E342" s="26" t="inlineStr">
        <is>
          <t>Rebar Input for Checking - Beam/Column</t>
        </is>
      </c>
      <c r="F342" s="26" t="n"/>
      <c r="G342" s="26" t="n"/>
      <c r="H342" s="26" t="inlineStr">
        <is>
          <t>INFO</t>
        </is>
      </c>
      <c r="I342" s="26" t="inlineStr">
        <is>
          <t>DB</t>
        </is>
      </c>
      <c r="J342" s="26" t="inlineStr">
        <is>
          <t>RCHK</t>
        </is>
      </c>
      <c r="K342" s="26" t="n"/>
      <c r="L342" s="26" t="inlineStr">
        <is>
          <t>/INFO/DB/RCHK</t>
        </is>
      </c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inlineStr">
        <is>
          <t>GET</t>
        </is>
      </c>
      <c r="W342" s="26" t="n"/>
      <c r="X342" s="26" t="n"/>
    </row>
    <row r="343">
      <c r="A343" s="26" t="n"/>
      <c r="B343" s="26" t="n"/>
      <c r="C343" s="26" t="inlineStr">
        <is>
          <t>Description</t>
        </is>
      </c>
      <c r="D343" s="26" t="inlineStr">
        <is>
          <t>Description</t>
        </is>
      </c>
      <c r="E343" s="26" t="inlineStr">
        <is>
          <t>Rigid Link</t>
        </is>
      </c>
      <c r="F343" s="26" t="n"/>
      <c r="G343" s="26" t="n"/>
      <c r="H343" s="26" t="inlineStr">
        <is>
          <t>INFO</t>
        </is>
      </c>
      <c r="I343" s="26" t="inlineStr">
        <is>
          <t>DB</t>
        </is>
      </c>
      <c r="J343" s="26" t="inlineStr">
        <is>
          <t>RIGD</t>
        </is>
      </c>
      <c r="K343" s="26" t="n"/>
      <c r="L343" s="26" t="inlineStr">
        <is>
          <t>/INFO/DB/RIGD</t>
        </is>
      </c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inlineStr">
        <is>
          <t>GET</t>
        </is>
      </c>
      <c r="W343" s="26" t="n"/>
      <c r="X343" s="26" t="n"/>
    </row>
    <row r="344">
      <c r="A344" s="26" t="n"/>
      <c r="B344" s="26" t="n"/>
      <c r="C344" s="26" t="inlineStr">
        <is>
          <t>Description</t>
        </is>
      </c>
      <c r="D344" s="26" t="inlineStr">
        <is>
          <t>Description</t>
        </is>
      </c>
      <c r="E344" s="26" t="inlineStr">
        <is>
          <t>Section Manager - Reinforcements</t>
        </is>
      </c>
      <c r="F344" s="26" t="n"/>
      <c r="G344" s="26" t="n"/>
      <c r="H344" s="26" t="inlineStr">
        <is>
          <t>INFO</t>
        </is>
      </c>
      <c r="I344" s="26" t="inlineStr">
        <is>
          <t>DB</t>
        </is>
      </c>
      <c r="J344" s="26" t="inlineStr">
        <is>
          <t>RPSC</t>
        </is>
      </c>
      <c r="K344" s="26" t="n"/>
      <c r="L344" s="26" t="inlineStr">
        <is>
          <t>/INFO/DB/RPSC</t>
        </is>
      </c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inlineStr">
        <is>
          <t>GET</t>
        </is>
      </c>
      <c r="W344" s="26" t="n"/>
      <c r="X344" s="26" t="n"/>
    </row>
    <row r="345">
      <c r="A345" s="26" t="n"/>
      <c r="B345" s="26" t="n"/>
      <c r="C345" s="26" t="inlineStr">
        <is>
          <t>Description</t>
        </is>
      </c>
      <c r="D345" s="26" t="inlineStr">
        <is>
          <t>Description</t>
        </is>
      </c>
      <c r="E345" s="26" t="n"/>
      <c r="F345" s="26" t="n"/>
      <c r="G345" s="26" t="n"/>
      <c r="H345" s="26" t="inlineStr">
        <is>
          <t>INFO</t>
        </is>
      </c>
      <c r="I345" s="26" t="inlineStr">
        <is>
          <t>DB</t>
        </is>
      </c>
      <c r="J345" s="26" t="inlineStr">
        <is>
          <t>SBCT</t>
        </is>
      </c>
      <c r="K345" s="26" t="n"/>
      <c r="L345" s="26" t="inlineStr">
        <is>
          <t>/INFO/DB/SBCT</t>
        </is>
      </c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inlineStr">
        <is>
          <t>GET</t>
        </is>
      </c>
      <c r="W345" s="26" t="n"/>
      <c r="X345" s="26" t="n"/>
    </row>
    <row r="346">
      <c r="A346" s="26" t="n"/>
      <c r="B346" s="26" t="n"/>
      <c r="C346" s="26" t="inlineStr">
        <is>
          <t>Description</t>
        </is>
      </c>
      <c r="D346" s="26" t="inlineStr">
        <is>
          <t>Description</t>
        </is>
      </c>
      <c r="E346" s="26" t="inlineStr">
        <is>
          <t>Define Sub-Domain</t>
        </is>
      </c>
      <c r="F346" s="26" t="n"/>
      <c r="G346" s="26" t="n"/>
      <c r="H346" s="26" t="inlineStr">
        <is>
          <t>INFO</t>
        </is>
      </c>
      <c r="I346" s="26" t="inlineStr">
        <is>
          <t>DB</t>
        </is>
      </c>
      <c r="J346" s="26" t="inlineStr">
        <is>
          <t>SBDO</t>
        </is>
      </c>
      <c r="K346" s="26" t="n"/>
      <c r="L346" s="26" t="inlineStr">
        <is>
          <t>/INFO/DB/SBDO</t>
        </is>
      </c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inlineStr">
        <is>
          <t>GET</t>
        </is>
      </c>
      <c r="W346" s="26" t="n"/>
      <c r="X346" s="26" t="n"/>
    </row>
    <row r="347">
      <c r="A347" s="26" t="n"/>
      <c r="B347" s="26" t="n"/>
      <c r="C347" s="26" t="inlineStr">
        <is>
          <t>Description</t>
        </is>
      </c>
      <c r="D347" s="26" t="inlineStr">
        <is>
          <t>Description</t>
        </is>
      </c>
      <c r="E347" s="26" t="inlineStr">
        <is>
          <t>Specified Displacements of Support</t>
        </is>
      </c>
      <c r="F347" s="26" t="n"/>
      <c r="G347" s="26" t="n"/>
      <c r="H347" s="26" t="inlineStr">
        <is>
          <t>INFO</t>
        </is>
      </c>
      <c r="I347" s="26" t="inlineStr">
        <is>
          <t>DB</t>
        </is>
      </c>
      <c r="J347" s="26" t="inlineStr">
        <is>
          <t>SDSP</t>
        </is>
      </c>
      <c r="K347" s="26" t="n"/>
      <c r="L347" s="26" t="inlineStr">
        <is>
          <t>/INFO/DB/SDSP</t>
        </is>
      </c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inlineStr">
        <is>
          <t>GET</t>
        </is>
      </c>
      <c r="W347" s="26" t="n"/>
      <c r="X347" s="26" t="n"/>
    </row>
    <row r="348">
      <c r="A348" s="26" t="n"/>
      <c r="B348" s="26" t="n"/>
      <c r="C348" s="26" t="inlineStr">
        <is>
          <t>Description</t>
        </is>
      </c>
      <c r="D348" s="26" t="inlineStr">
        <is>
          <t>Description</t>
        </is>
      </c>
      <c r="E348" s="26" t="inlineStr">
        <is>
          <t>Seismic Device - Steel Damper</t>
        </is>
      </c>
      <c r="F348" s="26" t="n"/>
      <c r="G348" s="26" t="n"/>
      <c r="H348" s="26" t="inlineStr">
        <is>
          <t>INFO</t>
        </is>
      </c>
      <c r="I348" s="26" t="inlineStr">
        <is>
          <t>DB</t>
        </is>
      </c>
      <c r="J348" s="26" t="inlineStr">
        <is>
          <t>SDST</t>
        </is>
      </c>
      <c r="K348" s="26" t="n"/>
      <c r="L348" s="26" t="inlineStr">
        <is>
          <t>/INFO/DB/SDST</t>
        </is>
      </c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inlineStr">
        <is>
          <t>GET</t>
        </is>
      </c>
      <c r="W348" s="26" t="n"/>
      <c r="X348" s="26" t="n"/>
    </row>
    <row r="349">
      <c r="A349" s="26" t="n"/>
      <c r="B349" s="26" t="n"/>
      <c r="C349" s="26" t="inlineStr">
        <is>
          <t>Description</t>
        </is>
      </c>
      <c r="D349" s="26" t="inlineStr">
        <is>
          <t>Description</t>
        </is>
      </c>
      <c r="E349" s="26" t="inlineStr">
        <is>
          <t>Seismic Device - Viscoelastic Damper</t>
        </is>
      </c>
      <c r="F349" s="26" t="n"/>
      <c r="G349" s="26" t="n"/>
      <c r="H349" s="26" t="inlineStr">
        <is>
          <t>INFO</t>
        </is>
      </c>
      <c r="I349" s="26" t="inlineStr">
        <is>
          <t>DB</t>
        </is>
      </c>
      <c r="J349" s="26" t="inlineStr">
        <is>
          <t>SDVE</t>
        </is>
      </c>
      <c r="K349" s="26" t="n"/>
      <c r="L349" s="26" t="inlineStr">
        <is>
          <t>/INFO/DB/SDVE</t>
        </is>
      </c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inlineStr">
        <is>
          <t>GET</t>
        </is>
      </c>
      <c r="W349" s="26" t="n"/>
      <c r="X349" s="26" t="n"/>
    </row>
    <row r="350">
      <c r="A350" s="26" t="n"/>
      <c r="B350" s="26" t="n"/>
      <c r="C350" s="26" t="inlineStr">
        <is>
          <t>Description</t>
        </is>
      </c>
      <c r="D350" s="26" t="inlineStr">
        <is>
          <t>Description</t>
        </is>
      </c>
      <c r="E350" s="26" t="inlineStr">
        <is>
          <t>Seismic Device - Viscous Damper/Oil Damper</t>
        </is>
      </c>
      <c r="F350" s="26" t="n"/>
      <c r="G350" s="26" t="n"/>
      <c r="H350" s="26" t="inlineStr">
        <is>
          <t>INFO</t>
        </is>
      </c>
      <c r="I350" s="26" t="inlineStr">
        <is>
          <t>DB</t>
        </is>
      </c>
      <c r="J350" s="26" t="inlineStr">
        <is>
          <t>SDVI</t>
        </is>
      </c>
      <c r="K350" s="26" t="n"/>
      <c r="L350" s="26" t="inlineStr">
        <is>
          <t>/INFO/DB/SDVI</t>
        </is>
      </c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inlineStr">
        <is>
          <t>GET</t>
        </is>
      </c>
      <c r="W350" s="26" t="n"/>
      <c r="X350" s="26" t="n"/>
    </row>
    <row r="351">
      <c r="A351" s="26" t="n"/>
      <c r="B351" s="26" t="n"/>
      <c r="C351" s="26" t="inlineStr">
        <is>
          <t>Description</t>
        </is>
      </c>
      <c r="D351" s="26" t="inlineStr">
        <is>
          <t>Description</t>
        </is>
      </c>
      <c r="E351" s="26" t="inlineStr">
        <is>
          <t>Section Manager - Stiffness</t>
        </is>
      </c>
      <c r="F351" s="26" t="n"/>
      <c r="G351" s="26" t="n"/>
      <c r="H351" s="26" t="inlineStr">
        <is>
          <t>INFO</t>
        </is>
      </c>
      <c r="I351" s="26" t="inlineStr">
        <is>
          <t>DB</t>
        </is>
      </c>
      <c r="J351" s="26" t="inlineStr">
        <is>
          <t>SECF</t>
        </is>
      </c>
      <c r="K351" s="26" t="n"/>
      <c r="L351" s="26" t="inlineStr">
        <is>
          <t>/INFO/DB/SECF</t>
        </is>
      </c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inlineStr">
        <is>
          <t>GET</t>
        </is>
      </c>
      <c r="W351" s="26" t="n"/>
      <c r="X351" s="26" t="n"/>
    </row>
    <row r="352">
      <c r="A352" s="26" t="n"/>
      <c r="B352" s="26" t="n"/>
      <c r="C352" s="26" t="inlineStr">
        <is>
          <t>Description</t>
        </is>
      </c>
      <c r="D352" s="26" t="inlineStr">
        <is>
          <t>Description</t>
        </is>
      </c>
      <c r="E352" s="26" t="n"/>
      <c r="F352" s="26" t="n"/>
      <c r="G352" s="26" t="n"/>
      <c r="H352" s="26" t="inlineStr">
        <is>
          <t>INFO</t>
        </is>
      </c>
      <c r="I352" s="26" t="inlineStr">
        <is>
          <t>DB</t>
        </is>
      </c>
      <c r="J352" s="26" t="inlineStr">
        <is>
          <t>SECP</t>
        </is>
      </c>
      <c r="K352" s="26" t="n"/>
      <c r="L352" s="26" t="inlineStr">
        <is>
          <t>/INFO/DB/SECP</t>
        </is>
      </c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inlineStr">
        <is>
          <t>GET</t>
        </is>
      </c>
      <c r="W352" s="26" t="n"/>
      <c r="X352" s="26" t="n"/>
    </row>
    <row r="353">
      <c r="A353" s="26" t="n"/>
      <c r="B353" s="26" t="n"/>
      <c r="C353" s="26" t="inlineStr">
        <is>
          <t>Description</t>
        </is>
      </c>
      <c r="D353" s="26" t="inlineStr">
        <is>
          <t>Description</t>
        </is>
      </c>
      <c r="E353" s="26" t="inlineStr">
        <is>
          <t>Section Properties - Tapered - Steel Girder</t>
        </is>
      </c>
      <c r="F353" s="26" t="n"/>
      <c r="G353" s="26" t="n"/>
      <c r="H353" s="26" t="inlineStr">
        <is>
          <t>INFO</t>
        </is>
      </c>
      <c r="I353" s="26" t="inlineStr">
        <is>
          <t>DB</t>
        </is>
      </c>
      <c r="J353" s="26" t="inlineStr">
        <is>
          <t>SECT</t>
        </is>
      </c>
      <c r="K353" s="26" t="n"/>
      <c r="L353" s="26" t="inlineStr">
        <is>
          <t>/INFO/DB/SECT</t>
        </is>
      </c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inlineStr">
        <is>
          <t>GET</t>
        </is>
      </c>
      <c r="W353" s="26" t="n"/>
      <c r="X353" s="26" t="n"/>
    </row>
    <row r="354">
      <c r="A354" s="26" t="n"/>
      <c r="B354" s="26" t="n"/>
      <c r="C354" s="26" t="inlineStr">
        <is>
          <t>Description</t>
        </is>
      </c>
      <c r="D354" s="26" t="inlineStr">
        <is>
          <t>Description</t>
        </is>
      </c>
      <c r="E354" s="26" t="n"/>
      <c r="F354" s="26" t="n"/>
      <c r="G354" s="26" t="n"/>
      <c r="H354" s="26" t="inlineStr">
        <is>
          <t>INFO</t>
        </is>
      </c>
      <c r="I354" s="26" t="inlineStr">
        <is>
          <t>DB</t>
        </is>
      </c>
      <c r="J354" s="26" t="inlineStr">
        <is>
          <t>SECV</t>
        </is>
      </c>
      <c r="K354" s="26" t="n"/>
      <c r="L354" s="26" t="inlineStr">
        <is>
          <t>/INFO/DB/SECV</t>
        </is>
      </c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inlineStr">
        <is>
          <t>GET</t>
        </is>
      </c>
      <c r="W354" s="26" t="n"/>
      <c r="X354" s="26" t="n"/>
    </row>
    <row r="355">
      <c r="A355" s="26" t="n"/>
      <c r="B355" s="26" t="n"/>
      <c r="C355" s="26" t="inlineStr">
        <is>
          <t>Description</t>
        </is>
      </c>
      <c r="D355" s="26" t="inlineStr">
        <is>
          <t>Description</t>
        </is>
      </c>
      <c r="E355" s="26" t="n"/>
      <c r="F355" s="26" t="n"/>
      <c r="G355" s="26" t="n"/>
      <c r="H355" s="26" t="inlineStr">
        <is>
          <t>INFO</t>
        </is>
      </c>
      <c r="I355" s="26" t="inlineStr">
        <is>
          <t>DB</t>
        </is>
      </c>
      <c r="J355" s="26" t="inlineStr">
        <is>
          <t>SGLD</t>
        </is>
      </c>
      <c r="K355" s="26" t="n"/>
      <c r="L355" s="26" t="inlineStr">
        <is>
          <t>/INFO/DB/SGLD</t>
        </is>
      </c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inlineStr">
        <is>
          <t>GET</t>
        </is>
      </c>
      <c r="W355" s="26" t="n"/>
      <c r="X355" s="26" t="n"/>
    </row>
    <row r="356">
      <c r="A356" s="26" t="n"/>
      <c r="B356" s="26" t="n"/>
      <c r="C356" s="26" t="inlineStr">
        <is>
          <t>Description</t>
        </is>
      </c>
      <c r="D356" s="26" t="inlineStr">
        <is>
          <t>Description</t>
        </is>
      </c>
      <c r="E356" s="26" t="inlineStr">
        <is>
          <t>Plate Element for Influence Surface</t>
        </is>
      </c>
      <c r="F356" s="26" t="n"/>
      <c r="G356" s="26" t="n"/>
      <c r="H356" s="26" t="inlineStr">
        <is>
          <t>INFO</t>
        </is>
      </c>
      <c r="I356" s="26" t="inlineStr">
        <is>
          <t>DB</t>
        </is>
      </c>
      <c r="J356" s="26" t="inlineStr">
        <is>
          <t>SINF</t>
        </is>
      </c>
      <c r="K356" s="26" t="n"/>
      <c r="L356" s="26" t="inlineStr">
        <is>
          <t>/INFO/DB/SINF</t>
        </is>
      </c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inlineStr">
        <is>
          <t>GET</t>
        </is>
      </c>
      <c r="W356" s="26" t="n"/>
      <c r="X356" s="26" t="n"/>
    </row>
    <row r="357">
      <c r="A357" s="26" t="n"/>
      <c r="B357" s="26" t="n"/>
      <c r="C357" s="26" t="inlineStr">
        <is>
          <t>Description</t>
        </is>
      </c>
      <c r="D357" s="26" t="inlineStr">
        <is>
          <t>Description</t>
        </is>
      </c>
      <c r="E357" s="26" t="inlineStr">
        <is>
          <t>Node Local Axis</t>
        </is>
      </c>
      <c r="F357" s="26" t="n"/>
      <c r="G357" s="26" t="n"/>
      <c r="H357" s="26" t="inlineStr">
        <is>
          <t>INFO</t>
        </is>
      </c>
      <c r="I357" s="26" t="inlineStr">
        <is>
          <t>DB</t>
        </is>
      </c>
      <c r="J357" s="26" t="inlineStr">
        <is>
          <t>SKEW</t>
        </is>
      </c>
      <c r="K357" s="26" t="n"/>
      <c r="L357" s="26" t="inlineStr">
        <is>
          <t>/INFO/DB/SKEW</t>
        </is>
      </c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inlineStr">
        <is>
          <t>GET</t>
        </is>
      </c>
      <c r="W357" s="26" t="n"/>
      <c r="X357" s="26" t="n"/>
    </row>
    <row r="358">
      <c r="A358" s="26" t="n"/>
      <c r="B358" s="26" t="n"/>
      <c r="C358" s="26" t="inlineStr">
        <is>
          <t>Description</t>
        </is>
      </c>
      <c r="D358" s="26" t="inlineStr">
        <is>
          <t>Description</t>
        </is>
      </c>
      <c r="E358" s="26" t="inlineStr">
        <is>
          <t>Traffic Surface Lanes</t>
        </is>
      </c>
      <c r="F358" s="26" t="n"/>
      <c r="G358" s="26" t="n"/>
      <c r="H358" s="26" t="inlineStr">
        <is>
          <t>INFO</t>
        </is>
      </c>
      <c r="I358" s="26" t="inlineStr">
        <is>
          <t>DB</t>
        </is>
      </c>
      <c r="J358" s="26" t="inlineStr">
        <is>
          <t>SLAN</t>
        </is>
      </c>
      <c r="K358" s="26" t="n"/>
      <c r="L358" s="26" t="inlineStr">
        <is>
          <t>/INFO/DB/SLAN</t>
        </is>
      </c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inlineStr">
        <is>
          <t>GET</t>
        </is>
      </c>
      <c r="W358" s="26" t="n"/>
      <c r="X358" s="26" t="n"/>
    </row>
    <row r="359">
      <c r="A359" s="26" t="n"/>
      <c r="B359" s="26" t="n"/>
      <c r="C359" s="26" t="inlineStr">
        <is>
          <t>Description</t>
        </is>
      </c>
      <c r="D359" s="26" t="inlineStr">
        <is>
          <t>Description</t>
        </is>
      </c>
      <c r="E359" s="26" t="inlineStr">
        <is>
          <t>Traffic Surface Lanes - China</t>
        </is>
      </c>
      <c r="F359" s="26" t="n"/>
      <c r="G359" s="26" t="n"/>
      <c r="H359" s="26" t="inlineStr">
        <is>
          <t>INFO</t>
        </is>
      </c>
      <c r="I359" s="26" t="inlineStr">
        <is>
          <t>DB</t>
        </is>
      </c>
      <c r="J359" s="26" t="inlineStr">
        <is>
          <t>SLANCH</t>
        </is>
      </c>
      <c r="K359" s="26" t="n"/>
      <c r="L359" s="26" t="inlineStr">
        <is>
          <t>/INFO/DB/SLANCH</t>
        </is>
      </c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inlineStr">
        <is>
          <t>GET</t>
        </is>
      </c>
      <c r="W359" s="26" t="n"/>
      <c r="X359" s="26" t="n"/>
    </row>
    <row r="360">
      <c r="A360" s="26" t="n"/>
      <c r="B360" s="26" t="n"/>
      <c r="C360" s="26" t="inlineStr">
        <is>
          <t>Description</t>
        </is>
      </c>
      <c r="D360" s="26" t="inlineStr">
        <is>
          <t>Description</t>
        </is>
      </c>
      <c r="E360" s="26" t="inlineStr">
        <is>
          <t>Traffic Surface Lanes - Moving Load Optimization</t>
        </is>
      </c>
      <c r="F360" s="26" t="n"/>
      <c r="G360" s="26" t="n"/>
      <c r="H360" s="26" t="inlineStr">
        <is>
          <t>INFO</t>
        </is>
      </c>
      <c r="I360" s="26" t="inlineStr">
        <is>
          <t>DB</t>
        </is>
      </c>
      <c r="J360" s="26" t="inlineStr">
        <is>
          <t>SLANOP</t>
        </is>
      </c>
      <c r="K360" s="26" t="n"/>
      <c r="L360" s="26" t="inlineStr">
        <is>
          <t>/INFO/DB/SLANOP</t>
        </is>
      </c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inlineStr">
        <is>
          <t>GET</t>
        </is>
      </c>
      <c r="W360" s="26" t="n"/>
      <c r="X360" s="26" t="n"/>
    </row>
    <row r="361">
      <c r="A361" s="26" t="n"/>
      <c r="B361" s="26" t="n"/>
      <c r="C361" s="26" t="inlineStr">
        <is>
          <t>Description</t>
        </is>
      </c>
      <c r="D361" s="26" t="inlineStr">
        <is>
          <t>Description</t>
        </is>
      </c>
      <c r="E361" s="26" t="inlineStr">
        <is>
          <t>Settlement Analysis Control Data</t>
        </is>
      </c>
      <c r="F361" s="26" t="n"/>
      <c r="G361" s="26" t="n"/>
      <c r="H361" s="26" t="inlineStr">
        <is>
          <t>INFO</t>
        </is>
      </c>
      <c r="I361" s="26" t="inlineStr">
        <is>
          <t>DB</t>
        </is>
      </c>
      <c r="J361" s="26" t="inlineStr">
        <is>
          <t>SMCT</t>
        </is>
      </c>
      <c r="K361" s="26" t="n"/>
      <c r="L361" s="26" t="inlineStr">
        <is>
          <t>/INFO/DB/SMCT</t>
        </is>
      </c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inlineStr">
        <is>
          <t>GET</t>
        </is>
      </c>
      <c r="W361" s="26" t="n"/>
      <c r="X361" s="26" t="n"/>
    </row>
    <row r="362">
      <c r="A362" s="26" t="n"/>
      <c r="B362" s="26" t="n"/>
      <c r="C362" s="26" t="inlineStr">
        <is>
          <t>Description</t>
        </is>
      </c>
      <c r="D362" s="26" t="inlineStr">
        <is>
          <t>Description</t>
        </is>
      </c>
      <c r="E362" s="26" t="inlineStr">
        <is>
          <t>Settlement Load Cases</t>
        </is>
      </c>
      <c r="F362" s="26" t="n"/>
      <c r="G362" s="26" t="n"/>
      <c r="H362" s="26" t="inlineStr">
        <is>
          <t>INFO</t>
        </is>
      </c>
      <c r="I362" s="26" t="inlineStr">
        <is>
          <t>DB</t>
        </is>
      </c>
      <c r="J362" s="26" t="inlineStr">
        <is>
          <t>SMLC</t>
        </is>
      </c>
      <c r="K362" s="26" t="n"/>
      <c r="L362" s="26" t="inlineStr">
        <is>
          <t>/INFO/DB/SMLC</t>
        </is>
      </c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inlineStr">
        <is>
          <t>GET</t>
        </is>
      </c>
      <c r="W362" s="26" t="n"/>
      <c r="X362" s="26" t="n"/>
    </row>
    <row r="363">
      <c r="A363" s="26" t="n"/>
      <c r="B363" s="26" t="n"/>
      <c r="C363" s="26" t="inlineStr">
        <is>
          <t>Description</t>
        </is>
      </c>
      <c r="D363" s="26" t="inlineStr">
        <is>
          <t>Description</t>
        </is>
      </c>
      <c r="E363" s="26" t="inlineStr">
        <is>
          <t>Settlement Group</t>
        </is>
      </c>
      <c r="F363" s="26" t="n"/>
      <c r="G363" s="26" t="n"/>
      <c r="H363" s="26" t="inlineStr">
        <is>
          <t>INFO</t>
        </is>
      </c>
      <c r="I363" s="26" t="inlineStr">
        <is>
          <t>DB</t>
        </is>
      </c>
      <c r="J363" s="26" t="inlineStr">
        <is>
          <t>SMPT</t>
        </is>
      </c>
      <c r="K363" s="26" t="n"/>
      <c r="L363" s="26" t="inlineStr">
        <is>
          <t>/INFO/DB/SMPT</t>
        </is>
      </c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inlineStr">
        <is>
          <t>GET</t>
        </is>
      </c>
      <c r="W363" s="26" t="n"/>
      <c r="X363" s="26" t="n"/>
    </row>
    <row r="364">
      <c r="A364" s="26" t="n"/>
      <c r="B364" s="26" t="n"/>
      <c r="C364" s="26" t="inlineStr">
        <is>
          <t>Description</t>
        </is>
      </c>
      <c r="D364" s="26" t="inlineStr">
        <is>
          <t>Description</t>
        </is>
      </c>
      <c r="E364" s="26" t="inlineStr">
        <is>
          <t>Span Information</t>
        </is>
      </c>
      <c r="F364" s="26" t="n"/>
      <c r="G364" s="26" t="n"/>
      <c r="H364" s="26" t="inlineStr">
        <is>
          <t>INFO</t>
        </is>
      </c>
      <c r="I364" s="26" t="inlineStr">
        <is>
          <t>DB</t>
        </is>
      </c>
      <c r="J364" s="26" t="inlineStr">
        <is>
          <t>SPAN</t>
        </is>
      </c>
      <c r="K364" s="26" t="n"/>
      <c r="L364" s="26" t="inlineStr">
        <is>
          <t>/INFO/DB/SPAN</t>
        </is>
      </c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inlineStr">
        <is>
          <t>GET</t>
        </is>
      </c>
      <c r="W364" s="26" t="n"/>
      <c r="X364" s="26" t="n"/>
    </row>
    <row r="365">
      <c r="A365" s="26" t="n"/>
      <c r="B365" s="26" t="n"/>
      <c r="C365" s="26" t="inlineStr">
        <is>
          <t>Description</t>
        </is>
      </c>
      <c r="D365" s="26" t="inlineStr">
        <is>
          <t>Description</t>
        </is>
      </c>
      <c r="E365" s="26" t="inlineStr">
        <is>
          <t>Response Spectrum Functions - Other Countries</t>
        </is>
      </c>
      <c r="F365" s="26" t="n"/>
      <c r="G365" s="26" t="n"/>
      <c r="H365" s="26" t="inlineStr">
        <is>
          <t>INFO</t>
        </is>
      </c>
      <c r="I365" s="26" t="inlineStr">
        <is>
          <t>DB</t>
        </is>
      </c>
      <c r="J365" s="26" t="inlineStr">
        <is>
          <t>SPFC</t>
        </is>
      </c>
      <c r="K365" s="26" t="n"/>
      <c r="L365" s="26" t="inlineStr">
        <is>
          <t>/INFO/DB/SPFC</t>
        </is>
      </c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inlineStr">
        <is>
          <t>GET</t>
        </is>
      </c>
      <c r="W365" s="26" t="n"/>
      <c r="X365" s="26" t="n"/>
    </row>
    <row r="366">
      <c r="A366" s="26" t="n"/>
      <c r="B366" s="26" t="n"/>
      <c r="C366" s="26" t="inlineStr">
        <is>
          <t>Description</t>
        </is>
      </c>
      <c r="D366" s="26" t="inlineStr">
        <is>
          <t>Description</t>
        </is>
      </c>
      <c r="E366" s="26" t="inlineStr">
        <is>
          <t>Response Spectrum Load Cases</t>
        </is>
      </c>
      <c r="F366" s="26" t="n"/>
      <c r="G366" s="26" t="n"/>
      <c r="H366" s="26" t="inlineStr">
        <is>
          <t>INFO</t>
        </is>
      </c>
      <c r="I366" s="26" t="inlineStr">
        <is>
          <t>DB</t>
        </is>
      </c>
      <c r="J366" s="26" t="inlineStr">
        <is>
          <t>SPLC</t>
        </is>
      </c>
      <c r="K366" s="26" t="n"/>
      <c r="L366" s="26" t="inlineStr">
        <is>
          <t>/INFO/DB/SPLC</t>
        </is>
      </c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inlineStr">
        <is>
          <t>GET</t>
        </is>
      </c>
      <c r="W366" s="26" t="n"/>
      <c r="X366" s="26" t="n"/>
    </row>
    <row r="367">
      <c r="A367" s="26" t="n"/>
      <c r="B367" s="26" t="n"/>
      <c r="C367" s="26" t="inlineStr">
        <is>
          <t>Description</t>
        </is>
      </c>
      <c r="D367" s="26" t="inlineStr">
        <is>
          <t>Description</t>
        </is>
      </c>
      <c r="E367" s="26" t="inlineStr">
        <is>
          <t>Surface Spring</t>
        </is>
      </c>
      <c r="F367" s="26" t="n"/>
      <c r="G367" s="26" t="n"/>
      <c r="H367" s="26" t="inlineStr">
        <is>
          <t>INFO</t>
        </is>
      </c>
      <c r="I367" s="26" t="inlineStr">
        <is>
          <t>DB</t>
        </is>
      </c>
      <c r="J367" s="26" t="inlineStr">
        <is>
          <t>SSPS</t>
        </is>
      </c>
      <c r="K367" s="26" t="n"/>
      <c r="L367" s="26" t="inlineStr">
        <is>
          <t>/INFO/DB/SSPS</t>
        </is>
      </c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inlineStr">
        <is>
          <t>GET</t>
        </is>
      </c>
      <c r="W367" s="26" t="n"/>
      <c r="X367" s="26" t="n"/>
    </row>
    <row r="368">
      <c r="A368" s="26" t="n"/>
      <c r="B368" s="26" t="n"/>
      <c r="C368" s="26" t="inlineStr">
        <is>
          <t>Description</t>
        </is>
      </c>
      <c r="D368" s="26" t="inlineStr">
        <is>
          <t>Description</t>
        </is>
      </c>
      <c r="E368" s="26" t="inlineStr">
        <is>
          <t>Define Construction Stage</t>
        </is>
      </c>
      <c r="F368" s="26" t="n"/>
      <c r="G368" s="26" t="n"/>
      <c r="H368" s="26" t="inlineStr">
        <is>
          <t>INFO</t>
        </is>
      </c>
      <c r="I368" s="26" t="inlineStr">
        <is>
          <t>DB</t>
        </is>
      </c>
      <c r="J368" s="26" t="inlineStr">
        <is>
          <t>STAG</t>
        </is>
      </c>
      <c r="K368" s="26" t="n"/>
      <c r="L368" s="26" t="inlineStr">
        <is>
          <t>/INFO/DB/STAG</t>
        </is>
      </c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inlineStr">
        <is>
          <t>GET</t>
        </is>
      </c>
      <c r="W368" s="26" t="n"/>
      <c r="X368" s="26" t="n"/>
    </row>
    <row r="369">
      <c r="A369" s="26" t="n"/>
      <c r="B369" s="26" t="n"/>
      <c r="C369" s="26" t="inlineStr">
        <is>
          <t>Description</t>
        </is>
      </c>
      <c r="D369" s="26" t="inlineStr">
        <is>
          <t>Description</t>
        </is>
      </c>
      <c r="E369" s="26" t="inlineStr">
        <is>
          <t>Set-Back Loads for Nonlinear Construction Stage</t>
        </is>
      </c>
      <c r="F369" s="26" t="n"/>
      <c r="G369" s="26" t="n"/>
      <c r="H369" s="26" t="inlineStr">
        <is>
          <t>INFO</t>
        </is>
      </c>
      <c r="I369" s="26" t="inlineStr">
        <is>
          <t>DB</t>
        </is>
      </c>
      <c r="J369" s="26" t="inlineStr">
        <is>
          <t>STBK</t>
        </is>
      </c>
      <c r="K369" s="26" t="n"/>
      <c r="L369" s="26" t="inlineStr">
        <is>
          <t>/INFO/DB/STBK</t>
        </is>
      </c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inlineStr">
        <is>
          <t>GET</t>
        </is>
      </c>
      <c r="W369" s="26" t="n"/>
      <c r="X369" s="26" t="n"/>
    </row>
    <row r="370">
      <c r="A370" s="26" t="n"/>
      <c r="B370" s="26" t="n"/>
      <c r="C370" s="26" t="inlineStr">
        <is>
          <t>Description</t>
        </is>
      </c>
      <c r="D370" s="26" t="inlineStr">
        <is>
          <t>Description</t>
        </is>
      </c>
      <c r="E370" s="26" t="inlineStr">
        <is>
          <t>Construction Stage Analysis Control Data</t>
        </is>
      </c>
      <c r="F370" s="26" t="n"/>
      <c r="G370" s="26" t="n"/>
      <c r="H370" s="26" t="inlineStr">
        <is>
          <t>INFO</t>
        </is>
      </c>
      <c r="I370" s="26" t="inlineStr">
        <is>
          <t>DB</t>
        </is>
      </c>
      <c r="J370" s="26" t="inlineStr">
        <is>
          <t>STCT</t>
        </is>
      </c>
      <c r="K370" s="26" t="n"/>
      <c r="L370" s="26" t="inlineStr">
        <is>
          <t>/INFO/DB/STCT</t>
        </is>
      </c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inlineStr">
        <is>
          <t>GET</t>
        </is>
      </c>
      <c r="W370" s="26" t="n"/>
      <c r="X370" s="26" t="n"/>
    </row>
    <row r="371">
      <c r="A371" s="26" t="n"/>
      <c r="B371" s="26" t="n"/>
      <c r="C371" s="26" t="inlineStr">
        <is>
          <t>Description</t>
        </is>
      </c>
      <c r="D371" s="26" t="inlineStr">
        <is>
          <t>Description</t>
        </is>
      </c>
      <c r="E371" s="26" t="inlineStr">
        <is>
          <t>Static Load Cases</t>
        </is>
      </c>
      <c r="F371" s="26" t="n"/>
      <c r="G371" s="26" t="n"/>
      <c r="H371" s="26" t="inlineStr">
        <is>
          <t>INFO</t>
        </is>
      </c>
      <c r="I371" s="26" t="inlineStr">
        <is>
          <t>DB</t>
        </is>
      </c>
      <c r="J371" s="26" t="inlineStr">
        <is>
          <t>STLD</t>
        </is>
      </c>
      <c r="K371" s="26" t="n"/>
      <c r="L371" s="26" t="inlineStr">
        <is>
          <t>/INFO/DB/STLD</t>
        </is>
      </c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inlineStr">
        <is>
          <t>GET</t>
        </is>
      </c>
      <c r="W371" s="26" t="n"/>
      <c r="X371" s="26" t="n"/>
    </row>
    <row r="372">
      <c r="A372" s="26" t="n"/>
      <c r="B372" s="26" t="n"/>
      <c r="C372" s="26" t="inlineStr">
        <is>
          <t>Description</t>
        </is>
      </c>
      <c r="D372" s="26" t="inlineStr">
        <is>
          <t>Description</t>
        </is>
      </c>
      <c r="E372" s="26" t="inlineStr">
        <is>
          <t>System Temperature</t>
        </is>
      </c>
      <c r="F372" s="26" t="n"/>
      <c r="G372" s="26" t="n"/>
      <c r="H372" s="26" t="inlineStr">
        <is>
          <t>INFO</t>
        </is>
      </c>
      <c r="I372" s="26" t="inlineStr">
        <is>
          <t>DB</t>
        </is>
      </c>
      <c r="J372" s="26" t="inlineStr">
        <is>
          <t>STMP</t>
        </is>
      </c>
      <c r="K372" s="26" t="n"/>
      <c r="L372" s="26" t="inlineStr">
        <is>
          <t>/INFO/DB/STMP</t>
        </is>
      </c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inlineStr">
        <is>
          <t>GET</t>
        </is>
      </c>
      <c r="W372" s="26" t="n"/>
      <c r="X372" s="26" t="n"/>
    </row>
    <row r="373">
      <c r="A373" s="26" t="n"/>
      <c r="B373" s="26" t="n"/>
      <c r="C373" s="26" t="inlineStr">
        <is>
          <t>Description</t>
        </is>
      </c>
      <c r="D373" s="26" t="inlineStr">
        <is>
          <t>Description</t>
        </is>
      </c>
      <c r="E373" s="26" t="inlineStr">
        <is>
          <t>Section Manager - Stress Points</t>
        </is>
      </c>
      <c r="F373" s="26" t="n"/>
      <c r="G373" s="26" t="n"/>
      <c r="H373" s="26" t="inlineStr">
        <is>
          <t>INFO</t>
        </is>
      </c>
      <c r="I373" s="26" t="inlineStr">
        <is>
          <t>DB</t>
        </is>
      </c>
      <c r="J373" s="26" t="inlineStr">
        <is>
          <t>STRPSSM</t>
        </is>
      </c>
      <c r="K373" s="26" t="n"/>
      <c r="L373" s="26" t="inlineStr">
        <is>
          <t>/INFO/DB/STRPSSM</t>
        </is>
      </c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inlineStr">
        <is>
          <t>GET</t>
        </is>
      </c>
      <c r="W373" s="26" t="n"/>
      <c r="X373" s="26" t="n"/>
    </row>
    <row r="374">
      <c r="A374" s="26" t="n"/>
      <c r="B374" s="26" t="n"/>
      <c r="C374" s="26" t="inlineStr">
        <is>
          <t>Description</t>
        </is>
      </c>
      <c r="D374" s="26" t="inlineStr">
        <is>
          <t>Description</t>
        </is>
      </c>
      <c r="E374" s="26" t="inlineStr">
        <is>
          <t>Structure Type</t>
        </is>
      </c>
      <c r="F374" s="26" t="n"/>
      <c r="G374" s="26" t="n"/>
      <c r="H374" s="26" t="inlineStr">
        <is>
          <t>INFO</t>
        </is>
      </c>
      <c r="I374" s="26" t="inlineStr">
        <is>
          <t>DB</t>
        </is>
      </c>
      <c r="J374" s="26" t="inlineStr">
        <is>
          <t>STYP</t>
        </is>
      </c>
      <c r="K374" s="26" t="n"/>
      <c r="L374" s="26" t="inlineStr">
        <is>
          <t>/INFO/DB/STYP</t>
        </is>
      </c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inlineStr">
        <is>
          <t>GET</t>
        </is>
      </c>
      <c r="W374" s="26" t="n"/>
      <c r="X374" s="26" t="n"/>
    </row>
    <row r="375">
      <c r="A375" s="26" t="n"/>
      <c r="B375" s="26" t="n"/>
      <c r="C375" s="26" t="inlineStr">
        <is>
          <t>Description</t>
        </is>
      </c>
      <c r="D375" s="26" t="inlineStr">
        <is>
          <t>Description</t>
        </is>
      </c>
      <c r="E375" s="26" t="inlineStr">
        <is>
          <t>Tendon Location for Composite Section</t>
        </is>
      </c>
      <c r="F375" s="26" t="n"/>
      <c r="G375" s="26" t="n"/>
      <c r="H375" s="26" t="inlineStr">
        <is>
          <t>INFO</t>
        </is>
      </c>
      <c r="I375" s="26" t="inlineStr">
        <is>
          <t>DB</t>
        </is>
      </c>
      <c r="J375" s="26" t="inlineStr">
        <is>
          <t>TDCS</t>
        </is>
      </c>
      <c r="K375" s="26" t="n"/>
      <c r="L375" s="26" t="inlineStr">
        <is>
          <t>/INFO/DB/TDCS</t>
        </is>
      </c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inlineStr">
        <is>
          <t>GET</t>
        </is>
      </c>
      <c r="W375" s="26" t="n"/>
      <c r="X375" s="26" t="n"/>
    </row>
    <row r="376">
      <c r="A376" s="26" t="n"/>
      <c r="B376" s="26" t="n"/>
      <c r="C376" s="26" t="inlineStr">
        <is>
          <t>Description</t>
        </is>
      </c>
      <c r="D376" s="26" t="inlineStr">
        <is>
          <t>Description</t>
        </is>
      </c>
      <c r="E376" s="26" t="inlineStr">
        <is>
          <t>Tendon Group</t>
        </is>
      </c>
      <c r="F376" s="26" t="n"/>
      <c r="G376" s="26" t="n"/>
      <c r="H376" s="26" t="inlineStr">
        <is>
          <t>INFO</t>
        </is>
      </c>
      <c r="I376" s="26" t="inlineStr">
        <is>
          <t>DB</t>
        </is>
      </c>
      <c r="J376" s="26" t="inlineStr">
        <is>
          <t>TDGR</t>
        </is>
      </c>
      <c r="K376" s="26" t="n"/>
      <c r="L376" s="26" t="inlineStr">
        <is>
          <t>/INFO/DB/TDGR</t>
        </is>
      </c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inlineStr">
        <is>
          <t>GET</t>
        </is>
      </c>
      <c r="W376" s="26" t="n"/>
      <c r="X376" s="26" t="n"/>
    </row>
    <row r="377">
      <c r="A377" s="26" t="n"/>
      <c r="B377" s="26" t="n"/>
      <c r="C377" s="26" t="inlineStr">
        <is>
          <t>Description</t>
        </is>
      </c>
      <c r="D377" s="26" t="inlineStr">
        <is>
          <t>Description</t>
        </is>
      </c>
      <c r="E377" s="26" t="inlineStr">
        <is>
          <t>Time Dependent Material Properties - Compressive Strength</t>
        </is>
      </c>
      <c r="F377" s="26" t="n"/>
      <c r="G377" s="26" t="n"/>
      <c r="H377" s="26" t="inlineStr">
        <is>
          <t>INFO</t>
        </is>
      </c>
      <c r="I377" s="26" t="inlineStr">
        <is>
          <t>DB</t>
        </is>
      </c>
      <c r="J377" s="26" t="inlineStr">
        <is>
          <t>TDME</t>
        </is>
      </c>
      <c r="K377" s="26" t="n"/>
      <c r="L377" s="26" t="inlineStr">
        <is>
          <t>/INFO/DB/TDME</t>
        </is>
      </c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inlineStr">
        <is>
          <t>GET</t>
        </is>
      </c>
      <c r="W377" s="26" t="n"/>
      <c r="X377" s="26" t="n"/>
    </row>
    <row r="378">
      <c r="A378" s="26" t="n"/>
      <c r="B378" s="26" t="n"/>
      <c r="C378" s="26" t="inlineStr">
        <is>
          <t>Description</t>
        </is>
      </c>
      <c r="D378" s="26" t="inlineStr">
        <is>
          <t>Description</t>
        </is>
      </c>
      <c r="E378" s="26" t="inlineStr">
        <is>
          <t>Time Dependent Material Properties - User Defined</t>
        </is>
      </c>
      <c r="F378" s="26" t="n"/>
      <c r="G378" s="26" t="n"/>
      <c r="H378" s="26" t="inlineStr">
        <is>
          <t>INFO</t>
        </is>
      </c>
      <c r="I378" s="26" t="inlineStr">
        <is>
          <t>DB</t>
        </is>
      </c>
      <c r="J378" s="26" t="inlineStr">
        <is>
          <t>TDMF</t>
        </is>
      </c>
      <c r="K378" s="26" t="n"/>
      <c r="L378" s="26" t="inlineStr">
        <is>
          <t>/INFO/DB/TDMF</t>
        </is>
      </c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inlineStr">
        <is>
          <t>GET</t>
        </is>
      </c>
      <c r="W378" s="26" t="n"/>
      <c r="X378" s="26" t="n"/>
    </row>
    <row r="379">
      <c r="A379" s="26" t="n"/>
      <c r="B379" s="26" t="n"/>
      <c r="C379" s="26" t="inlineStr">
        <is>
          <t>Description</t>
        </is>
      </c>
      <c r="D379" s="26" t="inlineStr">
        <is>
          <t>Description</t>
        </is>
      </c>
      <c r="E379" s="26" t="inlineStr">
        <is>
          <t>Time Dependent Material Properties - Creep/Shrinkage</t>
        </is>
      </c>
      <c r="F379" s="26" t="n"/>
      <c r="G379" s="26" t="n"/>
      <c r="H379" s="26" t="inlineStr">
        <is>
          <t>INFO</t>
        </is>
      </c>
      <c r="I379" s="26" t="inlineStr">
        <is>
          <t>DB</t>
        </is>
      </c>
      <c r="J379" s="26" t="inlineStr">
        <is>
          <t>TDMT</t>
        </is>
      </c>
      <c r="K379" s="26" t="n"/>
      <c r="L379" s="26" t="inlineStr">
        <is>
          <t>/INFO/DB/TDMT</t>
        </is>
      </c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inlineStr">
        <is>
          <t>GET</t>
        </is>
      </c>
      <c r="W379" s="26" t="n"/>
      <c r="X379" s="26" t="n"/>
    </row>
    <row r="380">
      <c r="A380" s="26" t="n"/>
      <c r="B380" s="26" t="n"/>
      <c r="C380" s="26" t="inlineStr">
        <is>
          <t>Description</t>
        </is>
      </c>
      <c r="D380" s="26" t="inlineStr">
        <is>
          <t>Description</t>
        </is>
      </c>
      <c r="E380" s="26" t="inlineStr">
        <is>
          <t>Tendon Profile</t>
        </is>
      </c>
      <c r="F380" s="26" t="n"/>
      <c r="G380" s="26" t="n"/>
      <c r="H380" s="26" t="inlineStr">
        <is>
          <t>INFO</t>
        </is>
      </c>
      <c r="I380" s="26" t="inlineStr">
        <is>
          <t>DB</t>
        </is>
      </c>
      <c r="J380" s="26" t="inlineStr">
        <is>
          <t>TDNA</t>
        </is>
      </c>
      <c r="K380" s="26" t="n"/>
      <c r="L380" s="26" t="inlineStr">
        <is>
          <t>/INFO/DB/TDNA</t>
        </is>
      </c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inlineStr">
        <is>
          <t>GET</t>
        </is>
      </c>
      <c r="W380" s="26" t="n"/>
      <c r="X380" s="26" t="n"/>
    </row>
    <row r="381">
      <c r="A381" s="26" t="n"/>
      <c r="B381" s="26" t="n"/>
      <c r="C381" s="26" t="inlineStr">
        <is>
          <t>Description</t>
        </is>
      </c>
      <c r="D381" s="26" t="inlineStr">
        <is>
          <t>Description</t>
        </is>
      </c>
      <c r="E381" s="26" t="inlineStr">
        <is>
          <t>Tendon Property</t>
        </is>
      </c>
      <c r="F381" s="26" t="n"/>
      <c r="G381" s="26" t="n"/>
      <c r="H381" s="26" t="inlineStr">
        <is>
          <t>INFO</t>
        </is>
      </c>
      <c r="I381" s="26" t="inlineStr">
        <is>
          <t>DB</t>
        </is>
      </c>
      <c r="J381" s="26" t="inlineStr">
        <is>
          <t>TDNT</t>
        </is>
      </c>
      <c r="K381" s="26" t="n"/>
      <c r="L381" s="26" t="inlineStr">
        <is>
          <t>/INFO/DB/TDNT</t>
        </is>
      </c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inlineStr">
        <is>
          <t>GET</t>
        </is>
      </c>
      <c r="W381" s="26" t="n"/>
      <c r="X381" s="26" t="n"/>
    </row>
    <row r="382">
      <c r="A382" s="26" t="n"/>
      <c r="B382" s="26" t="n"/>
      <c r="C382" s="26" t="inlineStr">
        <is>
          <t>Description</t>
        </is>
      </c>
      <c r="D382" s="26" t="inlineStr">
        <is>
          <t>Description</t>
        </is>
      </c>
      <c r="E382" s="26" t="inlineStr">
        <is>
          <t>Tendon Prestress</t>
        </is>
      </c>
      <c r="F382" s="26" t="n"/>
      <c r="G382" s="26" t="n"/>
      <c r="H382" s="26" t="inlineStr">
        <is>
          <t>INFO</t>
        </is>
      </c>
      <c r="I382" s="26" t="inlineStr">
        <is>
          <t>DB</t>
        </is>
      </c>
      <c r="J382" s="26" t="inlineStr">
        <is>
          <t>TDPL</t>
        </is>
      </c>
      <c r="K382" s="26" t="n"/>
      <c r="L382" s="26" t="inlineStr">
        <is>
          <t>/INFO/DB/TDPL</t>
        </is>
      </c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inlineStr">
        <is>
          <t>GET</t>
        </is>
      </c>
      <c r="W382" s="26" t="n"/>
      <c r="X382" s="26" t="n"/>
    </row>
    <row r="383">
      <c r="A383" s="26" t="n"/>
      <c r="B383" s="26" t="n"/>
      <c r="C383" s="26" t="inlineStr">
        <is>
          <t>Description</t>
        </is>
      </c>
      <c r="D383" s="26" t="inlineStr">
        <is>
          <t>Description</t>
        </is>
      </c>
      <c r="E383" s="26" t="inlineStr">
        <is>
          <t>Time History Functions</t>
        </is>
      </c>
      <c r="F383" s="26" t="n"/>
      <c r="G383" s="26" t="n"/>
      <c r="H383" s="26" t="inlineStr">
        <is>
          <t>INFO</t>
        </is>
      </c>
      <c r="I383" s="26" t="inlineStr">
        <is>
          <t>DB</t>
        </is>
      </c>
      <c r="J383" s="26" t="inlineStr">
        <is>
          <t>THFC</t>
        </is>
      </c>
      <c r="K383" s="26" t="n"/>
      <c r="L383" s="26" t="inlineStr">
        <is>
          <t>/INFO/DB/THFC</t>
        </is>
      </c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inlineStr">
        <is>
          <t>GET</t>
        </is>
      </c>
      <c r="W383" s="26" t="n"/>
      <c r="X383" s="26" t="n"/>
    </row>
    <row r="384">
      <c r="A384" s="26" t="n"/>
      <c r="B384" s="26" t="n"/>
      <c r="C384" s="26" t="inlineStr">
        <is>
          <t>Description</t>
        </is>
      </c>
      <c r="D384" s="26" t="inlineStr">
        <is>
          <t>Description</t>
        </is>
      </c>
      <c r="E384" s="26" t="inlineStr">
        <is>
          <t>Ground Acceleration</t>
        </is>
      </c>
      <c r="F384" s="26" t="n"/>
      <c r="G384" s="26" t="n"/>
      <c r="H384" s="26" t="inlineStr">
        <is>
          <t>INFO</t>
        </is>
      </c>
      <c r="I384" s="26" t="inlineStr">
        <is>
          <t>DB</t>
        </is>
      </c>
      <c r="J384" s="26" t="inlineStr">
        <is>
          <t>THGA</t>
        </is>
      </c>
      <c r="K384" s="26" t="n"/>
      <c r="L384" s="26" t="inlineStr">
        <is>
          <t>/INFO/DB/THGA</t>
        </is>
      </c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inlineStr">
        <is>
          <t>GET</t>
        </is>
      </c>
      <c r="W384" s="26" t="n"/>
      <c r="X384" s="26" t="n"/>
    </row>
    <row r="385">
      <c r="A385" s="26" t="n"/>
      <c r="B385" s="26" t="n"/>
      <c r="C385" s="26" t="inlineStr">
        <is>
          <t>Description</t>
        </is>
      </c>
      <c r="D385" s="26" t="inlineStr">
        <is>
          <t>Description</t>
        </is>
      </c>
      <c r="E385" s="26" t="inlineStr">
        <is>
          <t>Time History Global Control</t>
        </is>
      </c>
      <c r="F385" s="26" t="n"/>
      <c r="G385" s="26" t="n"/>
      <c r="H385" s="26" t="inlineStr">
        <is>
          <t>INFO</t>
        </is>
      </c>
      <c r="I385" s="26" t="inlineStr">
        <is>
          <t>DB</t>
        </is>
      </c>
      <c r="J385" s="26" t="inlineStr">
        <is>
          <t>THGC</t>
        </is>
      </c>
      <c r="K385" s="26" t="n"/>
      <c r="L385" s="26" t="inlineStr">
        <is>
          <t>/INFO/DB/THGC</t>
        </is>
      </c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inlineStr">
        <is>
          <t>GET</t>
        </is>
      </c>
      <c r="W385" s="26" t="n"/>
      <c r="X385" s="26" t="n"/>
    </row>
    <row r="386">
      <c r="A386" s="26" t="n"/>
      <c r="B386" s="26" t="n"/>
      <c r="C386" s="26" t="inlineStr">
        <is>
          <t>Description</t>
        </is>
      </c>
      <c r="D386" s="26" t="inlineStr">
        <is>
          <t>Description</t>
        </is>
      </c>
      <c r="E386" s="26" t="inlineStr">
        <is>
          <t>Thickness - Stiffened Value</t>
        </is>
      </c>
      <c r="F386" s="26" t="n"/>
      <c r="G386" s="26" t="n"/>
      <c r="H386" s="26" t="inlineStr">
        <is>
          <t>INFO</t>
        </is>
      </c>
      <c r="I386" s="26" t="inlineStr">
        <is>
          <t>DB</t>
        </is>
      </c>
      <c r="J386" s="26" t="inlineStr">
        <is>
          <t>THIK</t>
        </is>
      </c>
      <c r="K386" s="26" t="n"/>
      <c r="L386" s="26" t="inlineStr">
        <is>
          <t>/INFO/DB/THIK</t>
        </is>
      </c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inlineStr">
        <is>
          <t>GET</t>
        </is>
      </c>
      <c r="W386" s="26" t="n"/>
      <c r="X386" s="26" t="n"/>
    </row>
    <row r="387">
      <c r="A387" s="26" t="n"/>
      <c r="B387" s="26" t="n"/>
      <c r="C387" s="26" t="inlineStr">
        <is>
          <t>Description</t>
        </is>
      </c>
      <c r="D387" s="26" t="inlineStr">
        <is>
          <t>Description</t>
        </is>
      </c>
      <c r="E387" s="26" t="inlineStr">
        <is>
          <t>Time History Load Cases</t>
        </is>
      </c>
      <c r="F387" s="26" t="n"/>
      <c r="G387" s="26" t="n"/>
      <c r="H387" s="26" t="inlineStr">
        <is>
          <t>INFO</t>
        </is>
      </c>
      <c r="I387" s="26" t="inlineStr">
        <is>
          <t>DB</t>
        </is>
      </c>
      <c r="J387" s="26" t="inlineStr">
        <is>
          <t>THIS</t>
        </is>
      </c>
      <c r="K387" s="26" t="n"/>
      <c r="L387" s="26" t="inlineStr">
        <is>
          <t>/INFO/DB/THIS</t>
        </is>
      </c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inlineStr">
        <is>
          <t>GET</t>
        </is>
      </c>
      <c r="W387" s="26" t="n"/>
      <c r="X387" s="26" t="n"/>
    </row>
    <row r="388">
      <c r="A388" s="26" t="n"/>
      <c r="B388" s="26" t="n"/>
      <c r="C388" s="26" t="inlineStr">
        <is>
          <t>Description</t>
        </is>
      </c>
      <c r="D388" s="26" t="inlineStr">
        <is>
          <t>Description</t>
        </is>
      </c>
      <c r="E388" s="26" t="inlineStr">
        <is>
          <t>Multiple Support Excitation</t>
        </is>
      </c>
      <c r="F388" s="26" t="n"/>
      <c r="G388" s="26" t="n"/>
      <c r="H388" s="26" t="inlineStr">
        <is>
          <t>INFO</t>
        </is>
      </c>
      <c r="I388" s="26" t="inlineStr">
        <is>
          <t>DB</t>
        </is>
      </c>
      <c r="J388" s="26" t="inlineStr">
        <is>
          <t>THMS</t>
        </is>
      </c>
      <c r="K388" s="26" t="n"/>
      <c r="L388" s="26" t="inlineStr">
        <is>
          <t>/INFO/DB/THMS</t>
        </is>
      </c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inlineStr">
        <is>
          <t>GET</t>
        </is>
      </c>
      <c r="W388" s="26" t="n"/>
      <c r="X388" s="26" t="n"/>
    </row>
    <row r="389">
      <c r="A389" s="26" t="n"/>
      <c r="B389" s="26" t="n"/>
      <c r="C389" s="26" t="inlineStr">
        <is>
          <t>Description</t>
        </is>
      </c>
      <c r="D389" s="26" t="inlineStr">
        <is>
          <t>Description</t>
        </is>
      </c>
      <c r="E389" s="26" t="inlineStr">
        <is>
          <t>Dynamic Nodal Loads</t>
        </is>
      </c>
      <c r="F389" s="26" t="n"/>
      <c r="G389" s="26" t="n"/>
      <c r="H389" s="26" t="inlineStr">
        <is>
          <t>INFO</t>
        </is>
      </c>
      <c r="I389" s="26" t="inlineStr">
        <is>
          <t>DB</t>
        </is>
      </c>
      <c r="J389" s="26" t="inlineStr">
        <is>
          <t>THNL</t>
        </is>
      </c>
      <c r="K389" s="26" t="n"/>
      <c r="L389" s="26" t="inlineStr">
        <is>
          <t>/INFO/DB/THNL</t>
        </is>
      </c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inlineStr">
        <is>
          <t>GET</t>
        </is>
      </c>
      <c r="W389" s="26" t="n"/>
      <c r="X389" s="26" t="n"/>
    </row>
    <row r="390">
      <c r="A390" s="26" t="n"/>
      <c r="B390" s="26" t="n"/>
      <c r="C390" s="26" t="inlineStr">
        <is>
          <t>Description</t>
        </is>
      </c>
      <c r="D390" s="26" t="inlineStr">
        <is>
          <t>Description</t>
        </is>
      </c>
      <c r="E390" s="26" t="inlineStr">
        <is>
          <t>Time History Graph - Element Force Smart Graph</t>
        </is>
      </c>
      <c r="F390" s="26" t="n"/>
      <c r="G390" s="26" t="n"/>
      <c r="H390" s="26" t="inlineStr">
        <is>
          <t>INFO</t>
        </is>
      </c>
      <c r="I390" s="26" t="inlineStr">
        <is>
          <t>DB</t>
        </is>
      </c>
      <c r="J390" s="26" t="inlineStr">
        <is>
          <t>THRE</t>
        </is>
      </c>
      <c r="K390" s="26" t="n"/>
      <c r="L390" s="26" t="inlineStr">
        <is>
          <t>/INFO/DB/THRE</t>
        </is>
      </c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inlineStr">
        <is>
          <t>GET</t>
        </is>
      </c>
      <c r="W390" s="26" t="n"/>
      <c r="X390" s="26" t="n"/>
    </row>
    <row r="391">
      <c r="A391" s="26" t="n"/>
      <c r="B391" s="26" t="n"/>
      <c r="C391" s="26" t="inlineStr">
        <is>
          <t>Description</t>
        </is>
      </c>
      <c r="D391" s="26" t="inlineStr">
        <is>
          <t>Description</t>
        </is>
      </c>
      <c r="E391" s="26" t="inlineStr">
        <is>
          <t>Time History Graph - General Link Smart Graph</t>
        </is>
      </c>
      <c r="F391" s="26" t="n"/>
      <c r="G391" s="26" t="n"/>
      <c r="H391" s="26" t="inlineStr">
        <is>
          <t>INFO</t>
        </is>
      </c>
      <c r="I391" s="26" t="inlineStr">
        <is>
          <t>DB</t>
        </is>
      </c>
      <c r="J391" s="26" t="inlineStr">
        <is>
          <t>THRG</t>
        </is>
      </c>
      <c r="K391" s="26" t="n"/>
      <c r="L391" s="26" t="inlineStr">
        <is>
          <t>/INFO/DB/THRG</t>
        </is>
      </c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inlineStr">
        <is>
          <t>GET</t>
        </is>
      </c>
      <c r="W391" s="26" t="n"/>
      <c r="X391" s="26" t="n"/>
    </row>
    <row r="392">
      <c r="A392" s="26" t="n"/>
      <c r="B392" s="26" t="n"/>
      <c r="C392" s="26" t="inlineStr">
        <is>
          <t>Description</t>
        </is>
      </c>
      <c r="D392" s="26" t="inlineStr">
        <is>
          <t>Description</t>
        </is>
      </c>
      <c r="E392" s="26" t="inlineStr">
        <is>
          <t>Time History Graph - Inelastic Hinge Smart Graph</t>
        </is>
      </c>
      <c r="F392" s="26" t="n"/>
      <c r="G392" s="26" t="n"/>
      <c r="H392" s="26" t="inlineStr">
        <is>
          <t>INFO</t>
        </is>
      </c>
      <c r="I392" s="26" t="inlineStr">
        <is>
          <t>DB</t>
        </is>
      </c>
      <c r="J392" s="26" t="inlineStr">
        <is>
          <t>THRI</t>
        </is>
      </c>
      <c r="K392" s="26" t="n"/>
      <c r="L392" s="26" t="inlineStr">
        <is>
          <t>/INFO/DB/THRI</t>
        </is>
      </c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inlineStr">
        <is>
          <t>GET</t>
        </is>
      </c>
      <c r="W392" s="26" t="n"/>
      <c r="X392" s="26" t="n"/>
    </row>
    <row r="393">
      <c r="A393" s="26" t="n"/>
      <c r="B393" s="26" t="n"/>
      <c r="C393" s="26" t="inlineStr">
        <is>
          <t>Description</t>
        </is>
      </c>
      <c r="D393" s="26" t="inlineStr">
        <is>
          <t>Description</t>
        </is>
      </c>
      <c r="E393" s="26" t="inlineStr">
        <is>
          <t>Time Varying Static Loads</t>
        </is>
      </c>
      <c r="F393" s="26" t="n"/>
      <c r="G393" s="26" t="n"/>
      <c r="H393" s="26" t="inlineStr">
        <is>
          <t>INFO</t>
        </is>
      </c>
      <c r="I393" s="26" t="inlineStr">
        <is>
          <t>DB</t>
        </is>
      </c>
      <c r="J393" s="26" t="inlineStr">
        <is>
          <t>THSL</t>
        </is>
      </c>
      <c r="K393" s="26" t="n"/>
      <c r="L393" s="26" t="inlineStr">
        <is>
          <t>/INFO/DB/THSL</t>
        </is>
      </c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inlineStr">
        <is>
          <t>GET</t>
        </is>
      </c>
      <c r="W393" s="26" t="n"/>
      <c r="X393" s="26" t="n"/>
    </row>
    <row r="394">
      <c r="A394" s="26" t="n"/>
      <c r="B394" s="26" t="n"/>
      <c r="C394" s="26" t="inlineStr">
        <is>
          <t>Description</t>
        </is>
      </c>
      <c r="D394" s="26" t="inlineStr">
        <is>
          <t>Description</t>
        </is>
      </c>
      <c r="E394" s="26" t="inlineStr">
        <is>
          <t>Time Dependent Material Link</t>
        </is>
      </c>
      <c r="F394" s="26" t="n"/>
      <c r="G394" s="26" t="n"/>
      <c r="H394" s="26" t="inlineStr">
        <is>
          <t>INFO</t>
        </is>
      </c>
      <c r="I394" s="26" t="inlineStr">
        <is>
          <t>DB</t>
        </is>
      </c>
      <c r="J394" s="26" t="inlineStr">
        <is>
          <t>TMAT</t>
        </is>
      </c>
      <c r="K394" s="26" t="n"/>
      <c r="L394" s="26" t="inlineStr">
        <is>
          <t>/INFO/DB/TMAT</t>
        </is>
      </c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inlineStr">
        <is>
          <t>GET</t>
        </is>
      </c>
      <c r="W394" s="26" t="n"/>
      <c r="X394" s="26" t="n"/>
    </row>
    <row r="395">
      <c r="A395" s="26" t="n"/>
      <c r="B395" s="26" t="n"/>
      <c r="C395" s="26" t="inlineStr">
        <is>
          <t>Description</t>
        </is>
      </c>
      <c r="D395" s="26" t="inlineStr">
        <is>
          <t>Description</t>
        </is>
      </c>
      <c r="E395" s="26" t="inlineStr">
        <is>
          <t>Time Loads for Construction Stage</t>
        </is>
      </c>
      <c r="F395" s="26" t="n"/>
      <c r="G395" s="26" t="n"/>
      <c r="H395" s="26" t="inlineStr">
        <is>
          <t>INFO</t>
        </is>
      </c>
      <c r="I395" s="26" t="inlineStr">
        <is>
          <t>DB</t>
        </is>
      </c>
      <c r="J395" s="26" t="inlineStr">
        <is>
          <t>TMLD</t>
        </is>
      </c>
      <c r="K395" s="26" t="n"/>
      <c r="L395" s="26" t="inlineStr">
        <is>
          <t>/INFO/DB/TMLD</t>
        </is>
      </c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inlineStr">
        <is>
          <t>GET</t>
        </is>
      </c>
      <c r="W395" s="26" t="n"/>
      <c r="X395" s="26" t="n"/>
    </row>
    <row r="396">
      <c r="A396" s="26" t="n"/>
      <c r="B396" s="26" t="n"/>
      <c r="C396" s="26" t="inlineStr">
        <is>
          <t>Description</t>
        </is>
      </c>
      <c r="D396" s="26" t="inlineStr">
        <is>
          <t>Description</t>
        </is>
      </c>
      <c r="E396" s="26" t="inlineStr">
        <is>
          <t>Tapered Group</t>
        </is>
      </c>
      <c r="F396" s="26" t="n"/>
      <c r="G396" s="26" t="n"/>
      <c r="H396" s="26" t="inlineStr">
        <is>
          <t>INFO</t>
        </is>
      </c>
      <c r="I396" s="26" t="inlineStr">
        <is>
          <t>DB</t>
        </is>
      </c>
      <c r="J396" s="26" t="inlineStr">
        <is>
          <t>TSGR</t>
        </is>
      </c>
      <c r="K396" s="26" t="n"/>
      <c r="L396" s="26" t="inlineStr">
        <is>
          <t>/INFO/DB/TSGR</t>
        </is>
      </c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inlineStr">
        <is>
          <t>GET</t>
        </is>
      </c>
      <c r="W396" s="26" t="n"/>
      <c r="X396" s="26" t="n"/>
    </row>
    <row r="397">
      <c r="A397" s="26" t="n"/>
      <c r="B397" s="26" t="n"/>
      <c r="C397" s="26" t="inlineStr">
        <is>
          <t>Description</t>
        </is>
      </c>
      <c r="D397" s="26" t="inlineStr">
        <is>
          <t>Description</t>
        </is>
      </c>
      <c r="E397" s="26" t="n"/>
      <c r="F397" s="26" t="n"/>
      <c r="G397" s="26" t="n"/>
      <c r="H397" s="26" t="inlineStr">
        <is>
          <t>INFO</t>
        </is>
      </c>
      <c r="I397" s="26" t="inlineStr">
        <is>
          <t>DB</t>
        </is>
      </c>
      <c r="J397" s="26" t="inlineStr">
        <is>
          <t>UFIG</t>
        </is>
      </c>
      <c r="K397" s="26" t="n"/>
      <c r="L397" s="26" t="inlineStr">
        <is>
          <t>/INFO/DB/UFIG</t>
        </is>
      </c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inlineStr">
        <is>
          <t>GET</t>
        </is>
      </c>
      <c r="W397" s="26" t="n"/>
      <c r="X397" s="26" t="n"/>
    </row>
    <row r="398">
      <c r="A398" s="26" t="n"/>
      <c r="B398" s="26" t="n"/>
      <c r="C398" s="26" t="inlineStr">
        <is>
          <t>Description</t>
        </is>
      </c>
      <c r="D398" s="26" t="inlineStr">
        <is>
          <t>Description</t>
        </is>
      </c>
      <c r="E398" s="26" t="inlineStr">
        <is>
          <t>Cable Control - Unknown Load Factor Constraints</t>
        </is>
      </c>
      <c r="F398" s="26" t="n"/>
      <c r="G398" s="26" t="n"/>
      <c r="H398" s="26" t="inlineStr">
        <is>
          <t>INFO</t>
        </is>
      </c>
      <c r="I398" s="26" t="inlineStr">
        <is>
          <t>DB</t>
        </is>
      </c>
      <c r="J398" s="26" t="inlineStr">
        <is>
          <t>ULFC</t>
        </is>
      </c>
      <c r="K398" s="26" t="n"/>
      <c r="L398" s="26" t="inlineStr">
        <is>
          <t>/INFO/DB/ULFC</t>
        </is>
      </c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inlineStr">
        <is>
          <t>GET</t>
        </is>
      </c>
      <c r="W398" s="26" t="n"/>
      <c r="X398" s="26" t="n"/>
    </row>
    <row r="399">
      <c r="A399" s="26" t="n"/>
      <c r="B399" s="26" t="n"/>
      <c r="C399" s="26" t="inlineStr">
        <is>
          <t>Description</t>
        </is>
      </c>
      <c r="D399" s="26" t="inlineStr">
        <is>
          <t>Description</t>
        </is>
      </c>
      <c r="E399" s="26" t="inlineStr">
        <is>
          <t>Unit System</t>
        </is>
      </c>
      <c r="F399" s="26" t="n"/>
      <c r="G399" s="26" t="n"/>
      <c r="H399" s="26" t="inlineStr">
        <is>
          <t>INFO</t>
        </is>
      </c>
      <c r="I399" s="26" t="inlineStr">
        <is>
          <t>DB</t>
        </is>
      </c>
      <c r="J399" s="26" t="inlineStr">
        <is>
          <t>UNIT</t>
        </is>
      </c>
      <c r="K399" s="26" t="n"/>
      <c r="L399" s="26" t="inlineStr">
        <is>
          <t>/INFO/DB/UNIT</t>
        </is>
      </c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inlineStr">
        <is>
          <t>GET</t>
        </is>
      </c>
      <c r="W399" s="26" t="n"/>
      <c r="X399" s="26" t="n"/>
    </row>
    <row r="400">
      <c r="A400" s="26" t="n"/>
      <c r="B400" s="26" t="n"/>
      <c r="C400" s="26" t="inlineStr">
        <is>
          <t>Description</t>
        </is>
      </c>
      <c r="D400" s="26" t="inlineStr">
        <is>
          <t>Description</t>
        </is>
      </c>
      <c r="E400" s="26" t="inlineStr">
        <is>
          <t>Section Manager - Section for Resultant Forces - Virtual Beam</t>
        </is>
      </c>
      <c r="F400" s="26" t="n"/>
      <c r="G400" s="26" t="n"/>
      <c r="H400" s="26" t="inlineStr">
        <is>
          <t>INFO</t>
        </is>
      </c>
      <c r="I400" s="26" t="inlineStr">
        <is>
          <t>DB</t>
        </is>
      </c>
      <c r="J400" s="26" t="inlineStr">
        <is>
          <t>VBEM</t>
        </is>
      </c>
      <c r="K400" s="26" t="n"/>
      <c r="L400" s="26" t="inlineStr">
        <is>
          <t>/INFO/DB/VBEM</t>
        </is>
      </c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inlineStr">
        <is>
          <t>GET</t>
        </is>
      </c>
      <c r="W400" s="26" t="n"/>
      <c r="X400" s="26" t="n"/>
    </row>
    <row r="401">
      <c r="A401" s="26" t="n"/>
      <c r="B401" s="26" t="n"/>
      <c r="C401" s="26" t="inlineStr">
        <is>
          <t>Description</t>
        </is>
      </c>
      <c r="D401" s="26" t="inlineStr">
        <is>
          <t>Description</t>
        </is>
      </c>
      <c r="E401" s="26" t="inlineStr">
        <is>
          <t>Section Manager - Section for Resultant Forces - Virtual Section</t>
        </is>
      </c>
      <c r="F401" s="26" t="n"/>
      <c r="G401" s="26" t="n"/>
      <c r="H401" s="26" t="inlineStr">
        <is>
          <t>INFO</t>
        </is>
      </c>
      <c r="I401" s="26" t="inlineStr">
        <is>
          <t>DB</t>
        </is>
      </c>
      <c r="J401" s="26" t="inlineStr">
        <is>
          <t>VSEC</t>
        </is>
      </c>
      <c r="K401" s="26" t="n"/>
      <c r="L401" s="26" t="inlineStr">
        <is>
          <t>/INFO/DB/VSEC</t>
        </is>
      </c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inlineStr">
        <is>
          <t>GET</t>
        </is>
      </c>
      <c r="W401" s="26" t="n"/>
      <c r="X401" s="26" t="n"/>
    </row>
    <row r="402">
      <c r="A402" s="26" t="n"/>
      <c r="B402" s="26" t="n"/>
      <c r="C402" s="26" t="inlineStr">
        <is>
          <t>Description</t>
        </is>
      </c>
      <c r="D402" s="26" t="inlineStr">
        <is>
          <t>Description</t>
        </is>
      </c>
      <c r="E402" s="26" t="inlineStr">
        <is>
          <t>Modify Wall Mark Design</t>
        </is>
      </c>
      <c r="F402" s="26" t="n"/>
      <c r="G402" s="26" t="n"/>
      <c r="H402" s="26" t="inlineStr">
        <is>
          <t>INFO</t>
        </is>
      </c>
      <c r="I402" s="26" t="inlineStr">
        <is>
          <t>DB</t>
        </is>
      </c>
      <c r="J402" s="26" t="inlineStr">
        <is>
          <t>WMAK</t>
        </is>
      </c>
      <c r="K402" s="26" t="n"/>
      <c r="L402" s="26" t="inlineStr">
        <is>
          <t>/INFO/DB/WMAK</t>
        </is>
      </c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inlineStr">
        <is>
          <t>GET</t>
        </is>
      </c>
      <c r="W402" s="26" t="n"/>
      <c r="X402" s="26" t="n"/>
    </row>
    <row r="403">
      <c r="A403" s="26" t="n"/>
      <c r="B403" s="26" t="n"/>
      <c r="C403" s="26" t="inlineStr">
        <is>
          <t>Description</t>
        </is>
      </c>
      <c r="D403" s="26" t="inlineStr">
        <is>
          <t>Description</t>
        </is>
      </c>
      <c r="E403" s="26" t="n"/>
      <c r="F403" s="26" t="n"/>
      <c r="G403" s="26" t="n"/>
      <c r="H403" s="26" t="inlineStr">
        <is>
          <t>INFO</t>
        </is>
      </c>
      <c r="I403" s="26" t="inlineStr">
        <is>
          <t>DB</t>
        </is>
      </c>
      <c r="J403" s="26" t="inlineStr">
        <is>
          <t>WSSF</t>
        </is>
      </c>
      <c r="K403" s="26" t="n"/>
      <c r="L403" s="26" t="inlineStr">
        <is>
          <t>/INFO/DB/WSSF</t>
        </is>
      </c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inlineStr">
        <is>
          <t>GET</t>
        </is>
      </c>
      <c r="W403" s="26" t="n"/>
      <c r="X403" s="26" t="n"/>
    </row>
    <row r="404">
      <c r="A404" s="26" t="n"/>
      <c r="B404" s="26" t="n"/>
      <c r="C404" s="26" t="inlineStr">
        <is>
          <t>Description</t>
        </is>
      </c>
      <c r="D404" s="26" t="inlineStr">
        <is>
          <t>Description</t>
        </is>
      </c>
      <c r="E404" s="26" t="inlineStr">
        <is>
          <t>Wave Loads</t>
        </is>
      </c>
      <c r="F404" s="26" t="n"/>
      <c r="G404" s="26" t="n"/>
      <c r="H404" s="26" t="inlineStr">
        <is>
          <t>INFO</t>
        </is>
      </c>
      <c r="I404" s="26" t="inlineStr">
        <is>
          <t>DB</t>
        </is>
      </c>
      <c r="J404" s="26" t="inlineStr">
        <is>
          <t>WVLD</t>
        </is>
      </c>
      <c r="K404" s="26" t="n"/>
      <c r="L404" s="26" t="inlineStr">
        <is>
          <t>/INFO/DB/WVLD</t>
        </is>
      </c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inlineStr">
        <is>
          <t>GET</t>
        </is>
      </c>
      <c r="W404" s="26" t="n"/>
      <c r="X404" s="26" t="n"/>
    </row>
    <row r="405">
      <c r="A405" s="26" t="n"/>
      <c r="B405" s="26" t="n"/>
      <c r="C405" s="26" t="inlineStr">
        <is>
          <t>POST</t>
        </is>
      </c>
      <c r="D405" s="26" t="inlineStr">
        <is>
          <t>POST</t>
        </is>
      </c>
      <c r="E405" s="26" t="n"/>
      <c r="F405" s="26" t="n"/>
      <c r="G405" s="26" t="n"/>
      <c r="H405" s="26" t="inlineStr">
        <is>
          <t>REQUESTINFO</t>
        </is>
      </c>
      <c r="I405" s="26" t="inlineStr">
        <is>
          <t>POST</t>
        </is>
      </c>
      <c r="J405" s="26" t="inlineStr">
        <is>
          <t>TABLE</t>
        </is>
      </c>
      <c r="K405" s="26" t="n"/>
      <c r="L405" s="26" t="inlineStr">
        <is>
          <t>/REQUESTINFO/POST/TABLE</t>
        </is>
      </c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inlineStr">
        <is>
          <t>GET</t>
        </is>
      </c>
      <c r="W405" s="26" t="n"/>
      <c r="X405" s="26" t="n"/>
    </row>
    <row r="406">
      <c r="A406" s="26" t="n"/>
      <c r="B406" s="26" t="n"/>
      <c r="C406" s="26" t="inlineStr">
        <is>
          <t>POST</t>
        </is>
      </c>
      <c r="D406" s="26" t="inlineStr">
        <is>
          <t>POST</t>
        </is>
      </c>
      <c r="E406" s="26" t="n"/>
      <c r="F406" s="26" t="n"/>
      <c r="G406" s="26" t="n"/>
      <c r="H406" s="26" t="inlineStr">
        <is>
          <t>REQUESTINFO</t>
        </is>
      </c>
      <c r="I406" s="26" t="inlineStr">
        <is>
          <t>POST</t>
        </is>
      </c>
      <c r="J406" s="26" t="inlineStr">
        <is>
          <t>TABLE</t>
        </is>
      </c>
      <c r="K406" s="26" t="inlineStr">
        <is>
          <t>TYPELIST</t>
        </is>
      </c>
      <c r="L406" s="26" t="inlineStr">
        <is>
          <t>/REQUESTINFO/POST/TABLE/TYPELIST</t>
        </is>
      </c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inlineStr">
        <is>
          <t>GET</t>
        </is>
      </c>
      <c r="W406" s="26" t="n"/>
      <c r="X406" s="26" t="n"/>
    </row>
    <row r="407">
      <c r="A407" s="26" t="n"/>
      <c r="B407" s="26" t="n"/>
      <c r="C407" s="26" t="inlineStr">
        <is>
          <t>POST</t>
        </is>
      </c>
      <c r="D407" s="26" t="inlineStr">
        <is>
          <t>POST</t>
        </is>
      </c>
      <c r="E407" s="26" t="n"/>
      <c r="F407" s="26" t="n"/>
      <c r="G407" s="26" t="n"/>
      <c r="H407" s="26" t="inlineStr">
        <is>
          <t>REQUESTINFO</t>
        </is>
      </c>
      <c r="I407" s="26" t="inlineStr">
        <is>
          <t>POST</t>
        </is>
      </c>
      <c r="J407" s="26" t="inlineStr">
        <is>
          <t>TABLE</t>
        </is>
      </c>
      <c r="K407" s="26" t="inlineStr">
        <is>
          <t>{TABLE_TYPE}</t>
        </is>
      </c>
      <c r="L407" s="26" t="inlineStr">
        <is>
          <t>/REQUESTINFO/POST/TABLE/{TABLE_TYPE}</t>
        </is>
      </c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inlineStr">
        <is>
          <t>GET</t>
        </is>
      </c>
      <c r="W407" s="26" t="n"/>
      <c r="X407" s="26" t="n"/>
    </row>
    <row r="408">
      <c r="A408" s="26" t="n"/>
      <c r="B408" s="26" t="n"/>
      <c r="C408" s="26" t="inlineStr">
        <is>
          <t>POST</t>
        </is>
      </c>
      <c r="D408" s="26" t="inlineStr">
        <is>
          <t>POST</t>
        </is>
      </c>
      <c r="E408" s="26" t="n"/>
      <c r="F408" s="26" t="n"/>
      <c r="G408" s="26" t="n"/>
      <c r="H408" s="26" t="inlineStr">
        <is>
          <t>REQUESTINFO</t>
        </is>
      </c>
      <c r="I408" s="26" t="inlineStr">
        <is>
          <t>POST</t>
        </is>
      </c>
      <c r="J408" s="26" t="inlineStr">
        <is>
          <t>TABLE_REQUEST</t>
        </is>
      </c>
      <c r="K408" s="26" t="inlineStr">
        <is>
          <t>{TABLE_TYPE}</t>
        </is>
      </c>
      <c r="L408" s="26" t="inlineStr">
        <is>
          <t>/REQUESTINFO/POST/TABLE_REQUEST/{TABLE_TYPE}</t>
        </is>
      </c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inlineStr">
        <is>
          <t>GET</t>
        </is>
      </c>
      <c r="W408" s="26" t="n"/>
      <c r="X408" s="26" t="n"/>
    </row>
    <row r="409">
      <c r="A409" t="n">
        <v>54</v>
      </c>
      <c r="B409" t="inlineStr">
        <is>
          <t>civil-nx/gen-nx</t>
        </is>
      </c>
      <c r="C409" t="inlineStr">
        <is>
          <t>View</t>
        </is>
      </c>
      <c r="D409" t="inlineStr">
        <is>
          <t>View</t>
        </is>
      </c>
      <c r="E409" t="inlineStr">
        <is>
          <t>Display</t>
        </is>
      </c>
      <c r="F409" t="inlineStr">
        <is>
          <t>Display Option</t>
        </is>
      </c>
      <c r="T409" t="inlineStr">
        <is>
          <t>none</t>
        </is>
      </c>
      <c r="Z409">
        <f>IF(OR(K56="",K56="TABLE"),"",
_xlfn.TEXTJOIN(", ",TRUE,
IF(E56&lt;&gt;"",E56&amp;K56,""),
IF(F56&lt;&gt;"",F56&amp;K56,""),
IF(G56&lt;&gt;"",G56&amp;K56,"")
))</f>
        <v/>
      </c>
      <c r="AA409">
        <f>IF(K56="","",IF(K56="TABLE","",K56))</f>
        <v/>
      </c>
      <c r="AB409">
        <f>IF(ISNUMBER(SEARCH("기존변경필요",SUBSTITUTE(TRIM(V56),CHAR(10)," "))),"",
IFERROR(
  _xlfn.XLOOKUP(AA56,'기존 end point'!B:B,'기존 end point'!B:B,,0),
""))</f>
        <v/>
      </c>
    </row>
    <row r="410">
      <c r="A410" t="n">
        <v>55</v>
      </c>
      <c r="B410" t="inlineStr">
        <is>
          <t>civil-nx/gen-nx</t>
        </is>
      </c>
      <c r="C410" t="inlineStr">
        <is>
          <t>View</t>
        </is>
      </c>
      <c r="D410" t="inlineStr">
        <is>
          <t>View</t>
        </is>
      </c>
      <c r="E410" t="inlineStr">
        <is>
          <t>Hidden</t>
        </is>
      </c>
      <c r="F410" t="inlineStr">
        <is>
          <t>Hidden</t>
        </is>
      </c>
      <c r="T410" t="inlineStr">
        <is>
          <t>none</t>
        </is>
      </c>
      <c r="Z410">
        <f>IF(OR(K57="",K57="TABLE"),"",
_xlfn.TEXTJOIN(", ",TRUE,
IF(E57&lt;&gt;"",E57&amp;K57,""),
IF(F57&lt;&gt;"",F57&amp;K57,""),
IF(G57&lt;&gt;"",G57&amp;K57,"")
))</f>
        <v/>
      </c>
      <c r="AA410">
        <f>IF(K57="","",IF(K57="TABLE","",K57))</f>
        <v/>
      </c>
      <c r="AB410">
        <f>IF(ISNUMBER(SEARCH("기존변경필요",SUBSTITUTE(TRIM(V57),CHAR(10)," "))),"",
IFERROR(
  _xlfn.XLOOKUP(AA57,'기존 end point'!B:B,'기존 end point'!B:B,,0),
""))</f>
        <v/>
      </c>
    </row>
    <row r="411">
      <c r="A411" t="n">
        <v>56</v>
      </c>
      <c r="B411" t="inlineStr">
        <is>
          <t>civil-nx/gen-nx</t>
        </is>
      </c>
      <c r="C411" t="inlineStr">
        <is>
          <t>View</t>
        </is>
      </c>
      <c r="D411" t="inlineStr">
        <is>
          <t>View</t>
        </is>
      </c>
      <c r="E411" t="inlineStr">
        <is>
          <t>Hidden</t>
        </is>
      </c>
      <c r="F411" t="inlineStr">
        <is>
          <t>Shrink</t>
        </is>
      </c>
      <c r="T411" t="inlineStr">
        <is>
          <t>none</t>
        </is>
      </c>
      <c r="Z411">
        <f>IF(OR(K58="",K58="TABLE"),"",
_xlfn.TEXTJOIN(", ",TRUE,
IF(E58&lt;&gt;"",E58&amp;K58,""),
IF(F58&lt;&gt;"",F58&amp;K58,""),
IF(G58&lt;&gt;"",G58&amp;K58,"")
))</f>
        <v/>
      </c>
      <c r="AA411">
        <f>IF(K58="","",IF(K58="TABLE","",K58))</f>
        <v/>
      </c>
      <c r="AB411">
        <f>IF(ISNUMBER(SEARCH("기존변경필요",SUBSTITUTE(TRIM(V58),CHAR(10)," "))),"",
IFERROR(
  _xlfn.XLOOKUP(AA58,'기존 end point'!B:B,'기존 end point'!B:B,,0),
""))</f>
        <v/>
      </c>
    </row>
    <row r="412">
      <c r="A412" t="n">
        <v>57</v>
      </c>
      <c r="B412" t="inlineStr">
        <is>
          <t>civil-nx/gen-nx</t>
        </is>
      </c>
      <c r="C412" t="inlineStr">
        <is>
          <t>View</t>
        </is>
      </c>
      <c r="D412" t="inlineStr">
        <is>
          <t>View</t>
        </is>
      </c>
      <c r="E412" t="inlineStr">
        <is>
          <t>Hidden</t>
        </is>
      </c>
      <c r="F412" t="inlineStr">
        <is>
          <t>Perspective</t>
        </is>
      </c>
      <c r="T412" t="inlineStr">
        <is>
          <t>none</t>
        </is>
      </c>
      <c r="Z412">
        <f>IF(OR(K59="",K59="TABLE"),"",
_xlfn.TEXTJOIN(", ",TRUE,
IF(E59&lt;&gt;"",E59&amp;K59,""),
IF(F59&lt;&gt;"",F59&amp;K59,""),
IF(G59&lt;&gt;"",G59&amp;K59,"")
))</f>
        <v/>
      </c>
      <c r="AA412">
        <f>IF(K59="","",IF(K59="TABLE","",K59))</f>
        <v/>
      </c>
      <c r="AB412">
        <f>IF(ISNUMBER(SEARCH("기존변경필요",SUBSTITUTE(TRIM(V59),CHAR(10)," "))),"",
IFERROR(
  _xlfn.XLOOKUP(AA59,'기존 end point'!B:B,'기존 end point'!B:B,,0),
""))</f>
        <v/>
      </c>
    </row>
    <row r="413">
      <c r="A413" t="n">
        <v>58</v>
      </c>
      <c r="B413" t="inlineStr">
        <is>
          <t>civil-nx/gen-nx</t>
        </is>
      </c>
      <c r="C413" t="inlineStr">
        <is>
          <t>View</t>
        </is>
      </c>
      <c r="D413" t="inlineStr">
        <is>
          <t>View</t>
        </is>
      </c>
      <c r="E413" t="inlineStr">
        <is>
          <t>Render</t>
        </is>
      </c>
      <c r="F413" t="inlineStr">
        <is>
          <t>Render View</t>
        </is>
      </c>
      <c r="G413" t="inlineStr">
        <is>
          <t>-</t>
        </is>
      </c>
      <c r="T413" t="inlineStr">
        <is>
          <t>none</t>
        </is>
      </c>
      <c r="Z413">
        <f>IF(OR(K60="",K60="TABLE"),"",
_xlfn.TEXTJOIN(", ",TRUE,
IF(E60&lt;&gt;"",E60&amp;K60,""),
IF(F60&lt;&gt;"",F60&amp;K60,""),
IF(G60&lt;&gt;"",G60&amp;K60,"")
))</f>
        <v/>
      </c>
      <c r="AA413">
        <f>IF(K60="","",IF(K60="TABLE","",K60))</f>
        <v/>
      </c>
      <c r="AB413">
        <f>IF(ISNUMBER(SEARCH("기존변경필요",SUBSTITUTE(TRIM(V60),CHAR(10)," "))),"",
IFERROR(
  _xlfn.XLOOKUP(AA60,'기존 end point'!B:B,'기존 end point'!B:B,,0),
""))</f>
        <v/>
      </c>
    </row>
    <row r="414">
      <c r="A414" t="n">
        <v>59</v>
      </c>
      <c r="B414" t="inlineStr">
        <is>
          <t>civil-nx/gen-nx</t>
        </is>
      </c>
      <c r="C414" t="inlineStr">
        <is>
          <t>View</t>
        </is>
      </c>
      <c r="D414" t="inlineStr">
        <is>
          <t>View</t>
        </is>
      </c>
      <c r="E414" t="inlineStr">
        <is>
          <t>Render</t>
        </is>
      </c>
      <c r="F414" t="inlineStr">
        <is>
          <t>Rendering Option</t>
        </is>
      </c>
      <c r="G414" t="inlineStr">
        <is>
          <t>-</t>
        </is>
      </c>
      <c r="T414" t="inlineStr">
        <is>
          <t>none</t>
        </is>
      </c>
      <c r="Z414">
        <f>IF(OR(K61="",K61="TABLE"),"",
_xlfn.TEXTJOIN(", ",TRUE,
IF(E61&lt;&gt;"",E61&amp;K61,""),
IF(F61&lt;&gt;"",F61&amp;K61,""),
IF(G61&lt;&gt;"",G61&amp;K61,"")
))</f>
        <v/>
      </c>
      <c r="AA414">
        <f>IF(K61="","",IF(K61="TABLE","",K61))</f>
        <v/>
      </c>
      <c r="AB414">
        <f>IF(ISNUMBER(SEARCH("기존변경필요",SUBSTITUTE(TRIM(V61),CHAR(10)," "))),"",
IFERROR(
  _xlfn.XLOOKUP(AA61,'기존 end point'!B:B,'기존 end point'!B:B,,0),
""))</f>
        <v/>
      </c>
    </row>
    <row r="415">
      <c r="A415" t="n">
        <v>60</v>
      </c>
      <c r="B415" t="inlineStr">
        <is>
          <t>civil-nx/gen-nx</t>
        </is>
      </c>
      <c r="C415" t="inlineStr">
        <is>
          <t>View</t>
        </is>
      </c>
      <c r="D415" t="inlineStr">
        <is>
          <t>View</t>
        </is>
      </c>
      <c r="E415" t="inlineStr">
        <is>
          <t>Active</t>
        </is>
      </c>
      <c r="F415" t="inlineStr">
        <is>
          <t>Active</t>
        </is>
      </c>
      <c r="G415" t="inlineStr">
        <is>
          <t>-</t>
        </is>
      </c>
      <c r="H415" t="inlineStr">
        <is>
          <t>view</t>
        </is>
      </c>
      <c r="I415" t="inlineStr">
        <is>
          <t>active</t>
        </is>
      </c>
      <c r="K415">
        <f>_xlfn.TEXTAFTER(L62,"/",-1)</f>
        <v/>
      </c>
      <c r="L415" t="inlineStr">
        <is>
          <t>/view/active</t>
        </is>
      </c>
      <c r="M415" t="inlineStr">
        <is>
          <t>Active</t>
        </is>
      </c>
      <c r="N415" t="inlineStr">
        <is>
          <t>done</t>
        </is>
      </c>
      <c r="O415" t="inlineStr">
        <is>
          <t>done</t>
        </is>
      </c>
      <c r="P415" t="inlineStr">
        <is>
          <t>done</t>
        </is>
      </c>
      <c r="Q415" t="inlineStr">
        <is>
          <t>done</t>
        </is>
      </c>
      <c r="R415" t="inlineStr">
        <is>
          <t>done</t>
        </is>
      </c>
      <c r="S415" t="inlineStr">
        <is>
          <t>done</t>
        </is>
      </c>
      <c r="T415" t="inlineStr">
        <is>
          <t>Done</t>
        </is>
      </c>
      <c r="Z415">
        <f>IF(OR(K62="",K62="TABLE"),"",
_xlfn.TEXTJOIN(", ",TRUE,
IF(E62&lt;&gt;"",E62&amp;K62,""),
IF(F62&lt;&gt;"",F62&amp;K62,""),
IF(G62&lt;&gt;"",G62&amp;K62,"")
))</f>
        <v/>
      </c>
      <c r="AA415">
        <f>IF(K62="","",IF(K62="TABLE","",K62))</f>
        <v/>
      </c>
      <c r="AB415">
        <f>IF(ISNUMBER(SEARCH("기존변경필요",SUBSTITUTE(TRIM(V62),CHAR(10)," "))),"",
IFERROR(
  _xlfn.XLOOKUP(AA62,'기존 end point'!B:B,'기존 end point'!B:B,,0),
""))</f>
        <v/>
      </c>
    </row>
    <row r="416">
      <c r="A416" t="n">
        <v>61</v>
      </c>
      <c r="B416" t="inlineStr">
        <is>
          <t>civil-nx/gen-nx</t>
        </is>
      </c>
      <c r="C416" t="inlineStr">
        <is>
          <t>View</t>
        </is>
      </c>
      <c r="D416" t="inlineStr">
        <is>
          <t>View</t>
        </is>
      </c>
      <c r="E416" t="inlineStr">
        <is>
          <t>Active</t>
        </is>
      </c>
      <c r="F416" t="inlineStr">
        <is>
          <t>Inactive</t>
        </is>
      </c>
      <c r="G416" t="inlineStr">
        <is>
          <t>-</t>
        </is>
      </c>
      <c r="T416" t="inlineStr">
        <is>
          <t>none</t>
        </is>
      </c>
      <c r="Z416">
        <f>IF(OR(K63="",K63="TABLE"),"",
_xlfn.TEXTJOIN(", ",TRUE,
IF(E63&lt;&gt;"",E63&amp;K63,""),
IF(F63&lt;&gt;"",F63&amp;K63,""),
IF(G63&lt;&gt;"",G63&amp;K63,"")
))</f>
        <v/>
      </c>
      <c r="AA416">
        <f>IF(K63="","",IF(K63="TABLE","",K63))</f>
        <v/>
      </c>
      <c r="AB416">
        <f>IF(ISNUMBER(SEARCH("기존변경필요",SUBSTITUTE(TRIM(V63),CHAR(10)," "))),"",
IFERROR(
  _xlfn.XLOOKUP(AA63,'기존 end point'!B:B,'기존 end point'!B:B,,0),
""))</f>
        <v/>
      </c>
    </row>
    <row r="417">
      <c r="A417" t="n">
        <v>62</v>
      </c>
      <c r="B417" t="inlineStr">
        <is>
          <t>civil-nx/gen-nx</t>
        </is>
      </c>
      <c r="C417" t="inlineStr">
        <is>
          <t>View</t>
        </is>
      </c>
      <c r="D417" t="inlineStr">
        <is>
          <t>View</t>
        </is>
      </c>
      <c r="E417" t="inlineStr">
        <is>
          <t>All</t>
        </is>
      </c>
      <c r="F417" t="inlineStr">
        <is>
          <t>Active All</t>
        </is>
      </c>
      <c r="G417" t="inlineStr">
        <is>
          <t>-</t>
        </is>
      </c>
      <c r="T417" t="inlineStr">
        <is>
          <t>none</t>
        </is>
      </c>
      <c r="Z417">
        <f>IF(OR(K64="",K64="TABLE"),"",
_xlfn.TEXTJOIN(", ",TRUE,
IF(E64&lt;&gt;"",E64&amp;K64,""),
IF(F64&lt;&gt;"",F64&amp;K64,""),
IF(G64&lt;&gt;"",G64&amp;K64,"")
))</f>
        <v/>
      </c>
      <c r="AA417">
        <f>IF(K64="","",IF(K64="TABLE","",K64))</f>
        <v/>
      </c>
      <c r="AB417">
        <f>IF(ISNUMBER(SEARCH("기존변경필요",SUBSTITUTE(TRIM(V64),CHAR(10)," "))),"",
IFERROR(
  _xlfn.XLOOKUP(AA64,'기존 end point'!B:B,'기존 end point'!B:B,,0),
""))</f>
        <v/>
      </c>
    </row>
    <row r="418">
      <c r="A418" t="n">
        <v>63</v>
      </c>
      <c r="B418" t="inlineStr">
        <is>
          <t>civil-nx/gen-nx</t>
        </is>
      </c>
      <c r="C418" t="inlineStr">
        <is>
          <t>View</t>
        </is>
      </c>
      <c r="D418" t="inlineStr">
        <is>
          <t>View</t>
        </is>
      </c>
      <c r="E418" t="inlineStr">
        <is>
          <t>All</t>
        </is>
      </c>
      <c r="F418" t="inlineStr">
        <is>
          <t>Inverse Active</t>
        </is>
      </c>
      <c r="G418" t="inlineStr">
        <is>
          <t>-</t>
        </is>
      </c>
      <c r="T418" t="inlineStr">
        <is>
          <t>none</t>
        </is>
      </c>
      <c r="Z418">
        <f>IF(OR(K65="",K65="TABLE"),"",
_xlfn.TEXTJOIN(", ",TRUE,
IF(E65&lt;&gt;"",E65&amp;K65,""),
IF(F65&lt;&gt;"",F65&amp;K65,""),
IF(G65&lt;&gt;"",G65&amp;K65,"")
))</f>
        <v/>
      </c>
      <c r="AA418">
        <f>IF(K65="","",IF(K65="TABLE","",K65))</f>
        <v/>
      </c>
      <c r="AB418">
        <f>IF(ISNUMBER(SEARCH("기존변경필요",SUBSTITUTE(TRIM(V65),CHAR(10)," "))),"",
IFERROR(
  _xlfn.XLOOKUP(AA65,'기존 end point'!B:B,'기존 end point'!B:B,,0),
""))</f>
        <v/>
      </c>
    </row>
    <row r="419">
      <c r="A419" t="n">
        <v>64</v>
      </c>
      <c r="B419" t="inlineStr">
        <is>
          <t>civil-nx/gen-nx</t>
        </is>
      </c>
      <c r="C419" t="inlineStr">
        <is>
          <t>View</t>
        </is>
      </c>
      <c r="D419" t="inlineStr">
        <is>
          <t>View</t>
        </is>
      </c>
      <c r="E419" t="inlineStr">
        <is>
          <t>All</t>
        </is>
      </c>
      <c r="F419" t="inlineStr">
        <is>
          <t>Active Identity</t>
        </is>
      </c>
      <c r="G419" t="inlineStr">
        <is>
          <t>-</t>
        </is>
      </c>
      <c r="T419" t="inlineStr">
        <is>
          <t>none</t>
        </is>
      </c>
      <c r="Z419">
        <f>IF(OR(K66="",K66="TABLE"),"",
_xlfn.TEXTJOIN(", ",TRUE,
IF(E66&lt;&gt;"",E66&amp;K66,""),
IF(F66&lt;&gt;"",F66&amp;K66,""),
IF(G66&lt;&gt;"",G66&amp;K66,"")
))</f>
        <v/>
      </c>
      <c r="AA419">
        <f>IF(K66="","",IF(K66="TABLE","",K66))</f>
        <v/>
      </c>
      <c r="AB419">
        <f>IF(ISNUMBER(SEARCH("기존변경필요",SUBSTITUTE(TRIM(V66),CHAR(10)," "))),"",
IFERROR(
  _xlfn.XLOOKUP(AA66,'기존 end point'!B:B,'기존 end point'!B:B,,0),
""))</f>
        <v/>
      </c>
    </row>
    <row r="420">
      <c r="A420" t="n">
        <v>65</v>
      </c>
      <c r="B420" t="inlineStr">
        <is>
          <t>civil-nx/gen-nx</t>
        </is>
      </c>
      <c r="C420" t="inlineStr">
        <is>
          <t>View</t>
        </is>
      </c>
      <c r="D420" t="inlineStr">
        <is>
          <t>View</t>
        </is>
      </c>
      <c r="E420" t="inlineStr">
        <is>
          <t>All</t>
        </is>
      </c>
      <c r="F420" t="inlineStr">
        <is>
          <t>Active Previous</t>
        </is>
      </c>
      <c r="G420" t="inlineStr">
        <is>
          <t>-</t>
        </is>
      </c>
      <c r="T420" t="inlineStr">
        <is>
          <t>none</t>
        </is>
      </c>
      <c r="Z420">
        <f>IF(OR(K67="",K67="TABLE"),"",
_xlfn.TEXTJOIN(", ",TRUE,
IF(E67&lt;&gt;"",E67&amp;K67,""),
IF(F67&lt;&gt;"",F67&amp;K67,""),
IF(G67&lt;&gt;"",G67&amp;K67,"")
))</f>
        <v/>
      </c>
      <c r="AA420">
        <f>IF(K67="","",IF(K67="TABLE","",K67))</f>
        <v/>
      </c>
      <c r="AB420">
        <f>IF(ISNUMBER(SEARCH("기존변경필요",SUBSTITUTE(TRIM(V67),CHAR(10)," "))),"",
IFERROR(
  _xlfn.XLOOKUP(AA67,'기존 end point'!B:B,'기존 end point'!B:B,,0),
""))</f>
        <v/>
      </c>
    </row>
    <row r="421">
      <c r="A421" t="n">
        <v>66</v>
      </c>
      <c r="B421" t="inlineStr">
        <is>
          <t>civil-nx/gen-nx</t>
        </is>
      </c>
      <c r="C421" t="inlineStr">
        <is>
          <t>View</t>
        </is>
      </c>
      <c r="D421" t="inlineStr">
        <is>
          <t>View</t>
        </is>
      </c>
      <c r="E421" t="inlineStr">
        <is>
          <t>Select</t>
        </is>
      </c>
      <c r="F421" t="inlineStr">
        <is>
          <t>Identity</t>
        </is>
      </c>
      <c r="G421" t="inlineStr">
        <is>
          <t>-</t>
        </is>
      </c>
      <c r="T421" t="inlineStr">
        <is>
          <t>none</t>
        </is>
      </c>
      <c r="Z421">
        <f>IF(OR(K68="",K68="TABLE"),"",
_xlfn.TEXTJOIN(", ",TRUE,
IF(E68&lt;&gt;"",E68&amp;K68,""),
IF(F68&lt;&gt;"",F68&amp;K68,""),
IF(G68&lt;&gt;"",G68&amp;K68,"")
))</f>
        <v/>
      </c>
      <c r="AA421">
        <f>IF(K68="","",IF(K68="TABLE","",K68))</f>
        <v/>
      </c>
      <c r="AB421">
        <f>IF(ISNUMBER(SEARCH("기존변경필요",SUBSTITUTE(TRIM(V68),CHAR(10)," "))),"",
IFERROR(
  _xlfn.XLOOKUP(AA68,'기존 end point'!B:B,'기존 end point'!B:B,,0),
""))</f>
        <v/>
      </c>
    </row>
    <row r="422">
      <c r="A422" t="n">
        <v>67</v>
      </c>
      <c r="B422" t="inlineStr">
        <is>
          <t>civil-nx/gen-nx</t>
        </is>
      </c>
      <c r="C422" t="inlineStr">
        <is>
          <t>View</t>
        </is>
      </c>
      <c r="D422" t="inlineStr">
        <is>
          <t>View</t>
        </is>
      </c>
      <c r="E422" t="inlineStr">
        <is>
          <t>Select</t>
        </is>
      </c>
      <c r="F422" t="inlineStr">
        <is>
          <t>Filter</t>
        </is>
      </c>
      <c r="G422" t="inlineStr">
        <is>
          <t>-</t>
        </is>
      </c>
      <c r="T422" t="inlineStr">
        <is>
          <t>none</t>
        </is>
      </c>
      <c r="Z422">
        <f>IF(OR(K69="",K69="TABLE"),"",
_xlfn.TEXTJOIN(", ",TRUE,
IF(E69&lt;&gt;"",E69&amp;K69,""),
IF(F69&lt;&gt;"",F69&amp;K69,""),
IF(G69&lt;&gt;"",G69&amp;K69,"")
))</f>
        <v/>
      </c>
      <c r="AA422">
        <f>IF(K69="","",IF(K69="TABLE","",K69))</f>
        <v/>
      </c>
      <c r="AB422">
        <f>IF(ISNUMBER(SEARCH("기존변경필요",SUBSTITUTE(TRIM(V69),CHAR(10)," "))),"",
IFERROR(
  _xlfn.XLOOKUP(AA69,'기존 end point'!B:B,'기존 end point'!B:B,,0),
""))</f>
        <v/>
      </c>
    </row>
    <row r="423">
      <c r="A423" t="n">
        <v>68</v>
      </c>
      <c r="B423" t="inlineStr">
        <is>
          <t>civil-nx/gen-nx</t>
        </is>
      </c>
      <c r="C423" t="inlineStr">
        <is>
          <t>View</t>
        </is>
      </c>
      <c r="D423" t="inlineStr">
        <is>
          <t>View</t>
        </is>
      </c>
      <c r="E423" t="inlineStr">
        <is>
          <t>Select</t>
        </is>
      </c>
      <c r="F423" t="inlineStr">
        <is>
          <t>Single</t>
        </is>
      </c>
      <c r="G423" t="inlineStr">
        <is>
          <t>-</t>
        </is>
      </c>
      <c r="T423" t="inlineStr">
        <is>
          <t>none</t>
        </is>
      </c>
      <c r="Z423">
        <f>IF(OR(K70="",K70="TABLE"),"",
_xlfn.TEXTJOIN(", ",TRUE,
IF(E70&lt;&gt;"",E70&amp;K70,""),
IF(F70&lt;&gt;"",F70&amp;K70,""),
IF(G70&lt;&gt;"",G70&amp;K70,"")
))</f>
        <v/>
      </c>
      <c r="AA423">
        <f>IF(K70="","",IF(K70="TABLE","",K70))</f>
        <v/>
      </c>
      <c r="AB423">
        <f>IF(ISNUMBER(SEARCH("기존변경필요",SUBSTITUTE(TRIM(V70),CHAR(10)," "))),"",
IFERROR(
  _xlfn.XLOOKUP(AA70,'기존 end point'!B:B,'기존 end point'!B:B,,0),
""))</f>
        <v/>
      </c>
    </row>
    <row r="424">
      <c r="A424" t="n">
        <v>69</v>
      </c>
      <c r="B424" t="inlineStr">
        <is>
          <t>civil-nx/gen-nx</t>
        </is>
      </c>
      <c r="C424" t="inlineStr">
        <is>
          <t>View</t>
        </is>
      </c>
      <c r="D424" t="inlineStr">
        <is>
          <t>View</t>
        </is>
      </c>
      <c r="E424" t="inlineStr">
        <is>
          <t>Select</t>
        </is>
      </c>
      <c r="F424" t="inlineStr">
        <is>
          <t>Window</t>
        </is>
      </c>
      <c r="G424" t="inlineStr">
        <is>
          <t>-</t>
        </is>
      </c>
      <c r="T424" t="inlineStr">
        <is>
          <t>none</t>
        </is>
      </c>
      <c r="Z424">
        <f>IF(OR(K71="",K71="TABLE"),"",
_xlfn.TEXTJOIN(", ",TRUE,
IF(E71&lt;&gt;"",E71&amp;K71,""),
IF(F71&lt;&gt;"",F71&amp;K71,""),
IF(G71&lt;&gt;"",G71&amp;K71,"")
))</f>
        <v/>
      </c>
      <c r="AA424">
        <f>IF(K71="","",IF(K71="TABLE","",K71))</f>
        <v/>
      </c>
      <c r="AB424">
        <f>IF(ISNUMBER(SEARCH("기존변경필요",SUBSTITUTE(TRIM(V71),CHAR(10)," "))),"",
IFERROR(
  _xlfn.XLOOKUP(AA71,'기존 end point'!B:B,'기존 end point'!B:B,,0),
""))</f>
        <v/>
      </c>
    </row>
    <row r="425">
      <c r="A425" t="n">
        <v>70</v>
      </c>
      <c r="B425" t="inlineStr">
        <is>
          <t>civil-nx/gen-nx</t>
        </is>
      </c>
      <c r="C425" t="inlineStr">
        <is>
          <t>View</t>
        </is>
      </c>
      <c r="D425" t="inlineStr">
        <is>
          <t>View</t>
        </is>
      </c>
      <c r="E425" t="inlineStr">
        <is>
          <t>Select</t>
        </is>
      </c>
      <c r="F425" t="inlineStr">
        <is>
          <t>Polygon</t>
        </is>
      </c>
      <c r="G425" t="inlineStr">
        <is>
          <t>-</t>
        </is>
      </c>
      <c r="T425" t="inlineStr">
        <is>
          <t>none</t>
        </is>
      </c>
      <c r="Z425">
        <f>IF(OR(K72="",K72="TABLE"),"",
_xlfn.TEXTJOIN(", ",TRUE,
IF(E72&lt;&gt;"",E72&amp;K72,""),
IF(F72&lt;&gt;"",F72&amp;K72,""),
IF(G72&lt;&gt;"",G72&amp;K72,"")
))</f>
        <v/>
      </c>
      <c r="AA425">
        <f>IF(K72="","",IF(K72="TABLE","",K72))</f>
        <v/>
      </c>
      <c r="AB425">
        <f>IF(ISNUMBER(SEARCH("기존변경필요",SUBSTITUTE(TRIM(V72),CHAR(10)," "))),"",
IFERROR(
  _xlfn.XLOOKUP(AA72,'기존 end point'!B:B,'기존 end point'!B:B,,0),
""))</f>
        <v/>
      </c>
    </row>
    <row r="426">
      <c r="A426" t="n">
        <v>71</v>
      </c>
      <c r="B426" t="inlineStr">
        <is>
          <t>civil-nx/gen-nx</t>
        </is>
      </c>
      <c r="C426" t="inlineStr">
        <is>
          <t>View</t>
        </is>
      </c>
      <c r="D426" t="inlineStr">
        <is>
          <t>View</t>
        </is>
      </c>
      <c r="E426" t="inlineStr">
        <is>
          <t>Select</t>
        </is>
      </c>
      <c r="F426" t="inlineStr">
        <is>
          <t>Intersect Line</t>
        </is>
      </c>
      <c r="G426" t="inlineStr">
        <is>
          <t>-</t>
        </is>
      </c>
      <c r="T426" t="inlineStr">
        <is>
          <t>none</t>
        </is>
      </c>
      <c r="Z426">
        <f>IF(OR(K73="",K73="TABLE"),"",
_xlfn.TEXTJOIN(", ",TRUE,
IF(E73&lt;&gt;"",E73&amp;K73,""),
IF(F73&lt;&gt;"",F73&amp;K73,""),
IF(G73&lt;&gt;"",G73&amp;K73,"")
))</f>
        <v/>
      </c>
      <c r="AA426">
        <f>IF(K73="","",IF(K73="TABLE","",K73))</f>
        <v/>
      </c>
      <c r="AB426">
        <f>IF(ISNUMBER(SEARCH("기존변경필요",SUBSTITUTE(TRIM(V73),CHAR(10)," "))),"",
IFERROR(
  _xlfn.XLOOKUP(AA73,'기존 end point'!B:B,'기존 end point'!B:B,,0),
""))</f>
        <v/>
      </c>
    </row>
    <row r="427">
      <c r="A427" t="n">
        <v>72</v>
      </c>
      <c r="B427" t="inlineStr">
        <is>
          <t>civil-nx/gen-nx</t>
        </is>
      </c>
      <c r="C427" t="inlineStr">
        <is>
          <t>View</t>
        </is>
      </c>
      <c r="D427" t="inlineStr">
        <is>
          <t>View</t>
        </is>
      </c>
      <c r="E427" t="inlineStr">
        <is>
          <t>Select</t>
        </is>
      </c>
      <c r="F427" t="inlineStr">
        <is>
          <t>Plane</t>
        </is>
      </c>
      <c r="G427" t="inlineStr">
        <is>
          <t>-</t>
        </is>
      </c>
      <c r="T427" t="inlineStr">
        <is>
          <t>none</t>
        </is>
      </c>
      <c r="Z427">
        <f>IF(OR(K74="",K74="TABLE"),"",
_xlfn.TEXTJOIN(", ",TRUE,
IF(E74&lt;&gt;"",E74&amp;K74,""),
IF(F74&lt;&gt;"",F74&amp;K74,""),
IF(G74&lt;&gt;"",G74&amp;K74,"")
))</f>
        <v/>
      </c>
      <c r="AA427">
        <f>IF(K74="","",IF(K74="TABLE","",K74))</f>
        <v/>
      </c>
      <c r="AB427">
        <f>IF(ISNUMBER(SEARCH("기존변경필요",SUBSTITUTE(TRIM(V74),CHAR(10)," "))),"",
IFERROR(
  _xlfn.XLOOKUP(AA74,'기존 end point'!B:B,'기존 end point'!B:B,,0),
""))</f>
        <v/>
      </c>
    </row>
    <row r="428">
      <c r="A428" t="n">
        <v>73</v>
      </c>
      <c r="B428" t="inlineStr">
        <is>
          <t>civil-nx/gen-nx</t>
        </is>
      </c>
      <c r="C428" t="inlineStr">
        <is>
          <t>View</t>
        </is>
      </c>
      <c r="D428" t="inlineStr">
        <is>
          <t>View</t>
        </is>
      </c>
      <c r="E428" t="inlineStr">
        <is>
          <t>Select</t>
        </is>
      </c>
      <c r="F428" t="inlineStr">
        <is>
          <t>Volume</t>
        </is>
      </c>
      <c r="G428" t="inlineStr">
        <is>
          <t>-</t>
        </is>
      </c>
      <c r="T428" t="inlineStr">
        <is>
          <t>none</t>
        </is>
      </c>
      <c r="Z428">
        <f>IF(OR(K75="",K75="TABLE"),"",
_xlfn.TEXTJOIN(", ",TRUE,
IF(E75&lt;&gt;"",E75&amp;K75,""),
IF(F75&lt;&gt;"",F75&amp;K75,""),
IF(G75&lt;&gt;"",G75&amp;K75,"")
))</f>
        <v/>
      </c>
      <c r="AA428">
        <f>IF(K75="","",IF(K75="TABLE","",K75))</f>
        <v/>
      </c>
      <c r="AB428">
        <f>IF(ISNUMBER(SEARCH("기존변경필요",SUBSTITUTE(TRIM(V75),CHAR(10)," "))),"",
IFERROR(
  _xlfn.XLOOKUP(AA75,'기존 end point'!B:B,'기존 end point'!B:B,,0),
""))</f>
        <v/>
      </c>
    </row>
    <row r="429">
      <c r="A429" t="n">
        <v>74</v>
      </c>
      <c r="B429" t="inlineStr">
        <is>
          <t>civil-nx/gen-nx</t>
        </is>
      </c>
      <c r="C429" t="inlineStr">
        <is>
          <t>View</t>
        </is>
      </c>
      <c r="D429" t="inlineStr">
        <is>
          <t>View</t>
        </is>
      </c>
      <c r="E429" t="inlineStr">
        <is>
          <t>Select</t>
        </is>
      </c>
      <c r="F429" t="inlineStr">
        <is>
          <t>Select All</t>
        </is>
      </c>
      <c r="G429" t="inlineStr">
        <is>
          <t>-</t>
        </is>
      </c>
      <c r="T429" t="inlineStr">
        <is>
          <t>none</t>
        </is>
      </c>
      <c r="Z429">
        <f>IF(OR(K76="",K76="TABLE"),"",
_xlfn.TEXTJOIN(", ",TRUE,
IF(E76&lt;&gt;"",E76&amp;K76,""),
IF(F76&lt;&gt;"",F76&amp;K76,""),
IF(G76&lt;&gt;"",G76&amp;K76,"")
))</f>
        <v/>
      </c>
      <c r="AA429">
        <f>IF(K76="","",IF(K76="TABLE","",K76))</f>
        <v/>
      </c>
      <c r="AB429">
        <f>IF(ISNUMBER(SEARCH("기존변경필요",SUBSTITUTE(TRIM(V76),CHAR(10)," "))),"",
IFERROR(
  _xlfn.XLOOKUP(AA76,'기존 end point'!B:B,'기존 end point'!B:B,,0),
""))</f>
        <v/>
      </c>
    </row>
    <row r="430">
      <c r="A430" t="n">
        <v>75</v>
      </c>
      <c r="B430" t="inlineStr">
        <is>
          <t>civil-nx/gen-nx</t>
        </is>
      </c>
      <c r="C430" t="inlineStr">
        <is>
          <t>View</t>
        </is>
      </c>
      <c r="D430" t="inlineStr">
        <is>
          <t>View</t>
        </is>
      </c>
      <c r="E430" t="inlineStr">
        <is>
          <t>Select</t>
        </is>
      </c>
      <c r="F430" t="inlineStr">
        <is>
          <t>Select Previous</t>
        </is>
      </c>
      <c r="G430" t="inlineStr">
        <is>
          <t>-</t>
        </is>
      </c>
      <c r="T430" t="inlineStr">
        <is>
          <t>none</t>
        </is>
      </c>
      <c r="Z430">
        <f>IF(OR(K77="",K77="TABLE"),"",
_xlfn.TEXTJOIN(", ",TRUE,
IF(E77&lt;&gt;"",E77&amp;K77,""),
IF(F77&lt;&gt;"",F77&amp;K77,""),
IF(G77&lt;&gt;"",G77&amp;K77,"")
))</f>
        <v/>
      </c>
      <c r="AA430">
        <f>IF(K77="","",IF(K77="TABLE","",K77))</f>
        <v/>
      </c>
      <c r="AB430">
        <f>IF(ISNUMBER(SEARCH("기존변경필요",SUBSTITUTE(TRIM(V77),CHAR(10)," "))),"",
IFERROR(
  _xlfn.XLOOKUP(AA77,'기존 end point'!B:B,'기존 end point'!B:B,,0),
""))</f>
        <v/>
      </c>
    </row>
    <row r="431">
      <c r="A431" t="n">
        <v>76</v>
      </c>
      <c r="B431" t="inlineStr">
        <is>
          <t>civil-nx/gen-nx</t>
        </is>
      </c>
      <c r="C431" t="inlineStr">
        <is>
          <t>View</t>
        </is>
      </c>
      <c r="D431" t="inlineStr">
        <is>
          <t>View</t>
        </is>
      </c>
      <c r="E431" t="inlineStr">
        <is>
          <t>Select</t>
        </is>
      </c>
      <c r="F431" t="inlineStr">
        <is>
          <t>Select Recent Entities</t>
        </is>
      </c>
      <c r="G431" t="inlineStr">
        <is>
          <t>-</t>
        </is>
      </c>
      <c r="T431" t="inlineStr">
        <is>
          <t>none</t>
        </is>
      </c>
      <c r="Z431">
        <f>IF(OR(K78="",K78="TABLE"),"",
_xlfn.TEXTJOIN(", ",TRUE,
IF(E78&lt;&gt;"",E78&amp;K78,""),
IF(F78&lt;&gt;"",F78&amp;K78,""),
IF(G78&lt;&gt;"",G78&amp;K78,"")
))</f>
        <v/>
      </c>
      <c r="AA431">
        <f>IF(K78="","",IF(K78="TABLE","",K78))</f>
        <v/>
      </c>
      <c r="AB431">
        <f>IF(ISNUMBER(SEARCH("기존변경필요",SUBSTITUTE(TRIM(V78),CHAR(10)," "))),"",
IFERROR(
  _xlfn.XLOOKUP(AA78,'기존 end point'!B:B,'기존 end point'!B:B,,0),
""))</f>
        <v/>
      </c>
    </row>
    <row r="432">
      <c r="A432" t="n">
        <v>77</v>
      </c>
      <c r="B432" t="inlineStr">
        <is>
          <t>civil-nx/gen-nx</t>
        </is>
      </c>
      <c r="C432" t="inlineStr">
        <is>
          <t>View</t>
        </is>
      </c>
      <c r="D432" t="inlineStr">
        <is>
          <t>View</t>
        </is>
      </c>
      <c r="E432" t="inlineStr">
        <is>
          <t>Unselect</t>
        </is>
      </c>
      <c r="F432" t="inlineStr">
        <is>
          <t>Identity</t>
        </is>
      </c>
      <c r="G432" t="inlineStr">
        <is>
          <t>-</t>
        </is>
      </c>
      <c r="T432" t="inlineStr">
        <is>
          <t>none</t>
        </is>
      </c>
      <c r="Z432">
        <f>IF(OR(K79="",K79="TABLE"),"",
_xlfn.TEXTJOIN(", ",TRUE,
IF(E79&lt;&gt;"",E79&amp;K79,""),
IF(F79&lt;&gt;"",F79&amp;K79,""),
IF(G79&lt;&gt;"",G79&amp;K79,"")
))</f>
        <v/>
      </c>
      <c r="AA432">
        <f>IF(K79="","",IF(K79="TABLE","",K79))</f>
        <v/>
      </c>
      <c r="AB432">
        <f>IF(ISNUMBER(SEARCH("기존변경필요",SUBSTITUTE(TRIM(V79),CHAR(10)," "))),"",
IFERROR(
  _xlfn.XLOOKUP(AA79,'기존 end point'!B:B,'기존 end point'!B:B,,0),
""))</f>
        <v/>
      </c>
    </row>
    <row r="433">
      <c r="A433" t="n">
        <v>78</v>
      </c>
      <c r="B433" t="inlineStr">
        <is>
          <t>civil-nx/gen-nx</t>
        </is>
      </c>
      <c r="C433" t="inlineStr">
        <is>
          <t>View</t>
        </is>
      </c>
      <c r="D433" t="inlineStr">
        <is>
          <t>View</t>
        </is>
      </c>
      <c r="E433" t="inlineStr">
        <is>
          <t>Unselect</t>
        </is>
      </c>
      <c r="F433" t="inlineStr">
        <is>
          <t>Window</t>
        </is>
      </c>
      <c r="T433" t="inlineStr">
        <is>
          <t>none</t>
        </is>
      </c>
      <c r="Z433">
        <f>IF(OR(K80="",K80="TABLE"),"",
_xlfn.TEXTJOIN(", ",TRUE,
IF(E80&lt;&gt;"",E80&amp;K80,""),
IF(F80&lt;&gt;"",F80&amp;K80,""),
IF(G80&lt;&gt;"",G80&amp;K80,"")
))</f>
        <v/>
      </c>
      <c r="AA433">
        <f>IF(K80="","",IF(K80="TABLE","",K80))</f>
        <v/>
      </c>
      <c r="AB433">
        <f>IF(ISNUMBER(SEARCH("기존변경필요",SUBSTITUTE(TRIM(V80),CHAR(10)," "))),"",
IFERROR(
  _xlfn.XLOOKUP(AA80,'기존 end point'!B:B,'기존 end point'!B:B,,0),
""))</f>
        <v/>
      </c>
    </row>
    <row r="434">
      <c r="A434" t="n">
        <v>79</v>
      </c>
      <c r="B434" t="inlineStr">
        <is>
          <t>civil-nx/gen-nx</t>
        </is>
      </c>
      <c r="C434" t="inlineStr">
        <is>
          <t>View</t>
        </is>
      </c>
      <c r="D434" t="inlineStr">
        <is>
          <t>View</t>
        </is>
      </c>
      <c r="E434" t="inlineStr">
        <is>
          <t>Unselect</t>
        </is>
      </c>
      <c r="F434" t="inlineStr">
        <is>
          <t>Polygon</t>
        </is>
      </c>
      <c r="T434" t="inlineStr">
        <is>
          <t>none</t>
        </is>
      </c>
      <c r="Z434">
        <f>IF(OR(K81="",K81="TABLE"),"",
_xlfn.TEXTJOIN(", ",TRUE,
IF(E81&lt;&gt;"",E81&amp;K81,""),
IF(F81&lt;&gt;"",F81&amp;K81,""),
IF(G81&lt;&gt;"",G81&amp;K81,"")
))</f>
        <v/>
      </c>
      <c r="AA434">
        <f>IF(K81="","",IF(K81="TABLE","",K81))</f>
        <v/>
      </c>
      <c r="AB434">
        <f>IF(ISNUMBER(SEARCH("기존변경필요",SUBSTITUTE(TRIM(V81),CHAR(10)," "))),"",
IFERROR(
  _xlfn.XLOOKUP(AA81,'기존 end point'!B:B,'기존 end point'!B:B,,0),
""))</f>
        <v/>
      </c>
    </row>
    <row r="435">
      <c r="A435" t="n">
        <v>80</v>
      </c>
      <c r="B435" t="inlineStr">
        <is>
          <t>civil-nx/gen-nx</t>
        </is>
      </c>
      <c r="C435" t="inlineStr">
        <is>
          <t>View</t>
        </is>
      </c>
      <c r="D435" t="inlineStr">
        <is>
          <t>View</t>
        </is>
      </c>
      <c r="E435" t="inlineStr">
        <is>
          <t>Unselect</t>
        </is>
      </c>
      <c r="F435" t="inlineStr">
        <is>
          <t>Intersect Line</t>
        </is>
      </c>
      <c r="T435" t="inlineStr">
        <is>
          <t>none</t>
        </is>
      </c>
      <c r="Z435">
        <f>IF(OR(K82="",K82="TABLE"),"",
_xlfn.TEXTJOIN(", ",TRUE,
IF(E82&lt;&gt;"",E82&amp;K82,""),
IF(F82&lt;&gt;"",F82&amp;K82,""),
IF(G82&lt;&gt;"",G82&amp;K82,"")
))</f>
        <v/>
      </c>
      <c r="AA435">
        <f>IF(K82="","",IF(K82="TABLE","",K82))</f>
        <v/>
      </c>
      <c r="AB435">
        <f>IF(ISNUMBER(SEARCH("기존변경필요",SUBSTITUTE(TRIM(V82),CHAR(10)," "))),"",
IFERROR(
  _xlfn.XLOOKUP(AA82,'기존 end point'!B:B,'기존 end point'!B:B,,0),
""))</f>
        <v/>
      </c>
    </row>
    <row r="436">
      <c r="A436" t="n">
        <v>81</v>
      </c>
      <c r="B436" t="inlineStr">
        <is>
          <t>civil-nx/gen-nx</t>
        </is>
      </c>
      <c r="C436" t="inlineStr">
        <is>
          <t>View</t>
        </is>
      </c>
      <c r="D436" t="inlineStr">
        <is>
          <t>View</t>
        </is>
      </c>
      <c r="E436" t="inlineStr">
        <is>
          <t>Unselect</t>
        </is>
      </c>
      <c r="F436" t="inlineStr">
        <is>
          <t>Plane</t>
        </is>
      </c>
      <c r="T436" t="inlineStr">
        <is>
          <t>none</t>
        </is>
      </c>
      <c r="Z436">
        <f>IF(OR(K83="",K83="TABLE"),"",
_xlfn.TEXTJOIN(", ",TRUE,
IF(E83&lt;&gt;"",E83&amp;K83,""),
IF(F83&lt;&gt;"",F83&amp;K83,""),
IF(G83&lt;&gt;"",G83&amp;K83,"")
))</f>
        <v/>
      </c>
      <c r="AA436">
        <f>IF(K83="","",IF(K83="TABLE","",K83))</f>
        <v/>
      </c>
      <c r="AB436">
        <f>IF(ISNUMBER(SEARCH("기존변경필요",SUBSTITUTE(TRIM(V83),CHAR(10)," "))),"",
IFERROR(
  _xlfn.XLOOKUP(AA83,'기존 end point'!B:B,'기존 end point'!B:B,,0),
""))</f>
        <v/>
      </c>
    </row>
    <row r="437">
      <c r="A437" t="n">
        <v>82</v>
      </c>
      <c r="B437" t="inlineStr">
        <is>
          <t>civil-nx/gen-nx</t>
        </is>
      </c>
      <c r="C437" t="inlineStr">
        <is>
          <t>View</t>
        </is>
      </c>
      <c r="D437" t="inlineStr">
        <is>
          <t>View</t>
        </is>
      </c>
      <c r="E437" t="inlineStr">
        <is>
          <t>Unselect</t>
        </is>
      </c>
      <c r="F437" t="inlineStr">
        <is>
          <t>Volume</t>
        </is>
      </c>
      <c r="T437" t="inlineStr">
        <is>
          <t>none</t>
        </is>
      </c>
      <c r="Z437">
        <f>IF(OR(K84="",K84="TABLE"),"",
_xlfn.TEXTJOIN(", ",TRUE,
IF(E84&lt;&gt;"",E84&amp;K84,""),
IF(F84&lt;&gt;"",F84&amp;K84,""),
IF(G84&lt;&gt;"",G84&amp;K84,"")
))</f>
        <v/>
      </c>
      <c r="AA437">
        <f>IF(K84="","",IF(K84="TABLE","",K84))</f>
        <v/>
      </c>
      <c r="AB437">
        <f>IF(ISNUMBER(SEARCH("기존변경필요",SUBSTITUTE(TRIM(V84),CHAR(10)," "))),"",
IFERROR(
  _xlfn.XLOOKUP(AA84,'기존 end point'!B:B,'기존 end point'!B:B,,0),
""))</f>
        <v/>
      </c>
    </row>
    <row r="438">
      <c r="A438" t="n">
        <v>83</v>
      </c>
      <c r="B438" t="inlineStr">
        <is>
          <t>civil-nx/gen-nx</t>
        </is>
      </c>
      <c r="C438" t="inlineStr">
        <is>
          <t>View</t>
        </is>
      </c>
      <c r="D438" t="inlineStr">
        <is>
          <t>View</t>
        </is>
      </c>
      <c r="E438" t="inlineStr">
        <is>
          <t>Unselect</t>
        </is>
      </c>
      <c r="F438" t="inlineStr">
        <is>
          <t>Unselect All</t>
        </is>
      </c>
      <c r="T438" t="inlineStr">
        <is>
          <t>none</t>
        </is>
      </c>
      <c r="Z438">
        <f>IF(OR(K85="",K85="TABLE"),"",
_xlfn.TEXTJOIN(", ",TRUE,
IF(E85&lt;&gt;"",E85&amp;K85,""),
IF(F85&lt;&gt;"",F85&amp;K85,""),
IF(G85&lt;&gt;"",G85&amp;K85,"")
))</f>
        <v/>
      </c>
      <c r="AA438">
        <f>IF(K85="","",IF(K85="TABLE","",K85))</f>
        <v/>
      </c>
      <c r="AB438">
        <f>IF(ISNUMBER(SEARCH("기존변경필요",SUBSTITUTE(TRIM(V85),CHAR(10)," "))),"",
IFERROR(
  _xlfn.XLOOKUP(AA85,'기존 end point'!B:B,'기존 end point'!B:B,,0),
""))</f>
        <v/>
      </c>
    </row>
    <row r="439">
      <c r="A439" t="n">
        <v>84</v>
      </c>
      <c r="B439" t="inlineStr">
        <is>
          <t>civil-nx/gen-nx</t>
        </is>
      </c>
      <c r="C439" t="inlineStr">
        <is>
          <t>View</t>
        </is>
      </c>
      <c r="D439" t="inlineStr">
        <is>
          <t>Grids/Snap</t>
        </is>
      </c>
      <c r="E439" t="inlineStr">
        <is>
          <t>Grids</t>
        </is>
      </c>
      <c r="F439" t="inlineStr">
        <is>
          <t>Point Grid</t>
        </is>
      </c>
      <c r="T439" t="inlineStr">
        <is>
          <t>none</t>
        </is>
      </c>
      <c r="Z439">
        <f>IF(OR(K86="",K86="TABLE"),"",
_xlfn.TEXTJOIN(", ",TRUE,
IF(E86&lt;&gt;"",E86&amp;K86,""),
IF(F86&lt;&gt;"",F86&amp;K86,""),
IF(G86&lt;&gt;"",G86&amp;K86,"")
))</f>
        <v/>
      </c>
      <c r="AA439">
        <f>IF(K86="","",IF(K86="TABLE","",K86))</f>
        <v/>
      </c>
      <c r="AB439">
        <f>IF(ISNUMBER(SEARCH("기존변경필요",SUBSTITUTE(TRIM(V86),CHAR(10)," "))),"",
IFERROR(
  _xlfn.XLOOKUP(AA86,'기존 end point'!B:B,'기존 end point'!B:B,,0),
""))</f>
        <v/>
      </c>
    </row>
    <row r="440">
      <c r="A440" t="n">
        <v>85</v>
      </c>
      <c r="B440" t="inlineStr">
        <is>
          <t>civil-nx/gen-nx</t>
        </is>
      </c>
      <c r="C440" t="inlineStr">
        <is>
          <t>View</t>
        </is>
      </c>
      <c r="D440" t="inlineStr">
        <is>
          <t>Grids/Snap</t>
        </is>
      </c>
      <c r="E440" t="inlineStr">
        <is>
          <t>Grids</t>
        </is>
      </c>
      <c r="F440" t="inlineStr">
        <is>
          <t>Line Grid</t>
        </is>
      </c>
      <c r="T440" t="inlineStr">
        <is>
          <t>none</t>
        </is>
      </c>
      <c r="Z440">
        <f>IF(OR(K87="",K87="TABLE"),"",
_xlfn.TEXTJOIN(", ",TRUE,
IF(E87&lt;&gt;"",E87&amp;K87,""),
IF(F87&lt;&gt;"",F87&amp;K87,""),
IF(G87&lt;&gt;"",G87&amp;K87,"")
))</f>
        <v/>
      </c>
      <c r="AA440">
        <f>IF(K87="","",IF(K87="TABLE","",K87))</f>
        <v/>
      </c>
      <c r="AB440">
        <f>IF(ISNUMBER(SEARCH("기존변경필요",SUBSTITUTE(TRIM(V87),CHAR(10)," "))),"",
IFERROR(
  _xlfn.XLOOKUP(AA87,'기존 end point'!B:B,'기존 end point'!B:B,,0),
""))</f>
        <v/>
      </c>
    </row>
    <row r="441">
      <c r="A441" t="n">
        <v>86</v>
      </c>
      <c r="B441" t="inlineStr">
        <is>
          <t>civil-nx/gen-nx</t>
        </is>
      </c>
      <c r="C441" t="inlineStr">
        <is>
          <t>View</t>
        </is>
      </c>
      <c r="D441" t="inlineStr">
        <is>
          <t>Grids/Snap</t>
        </is>
      </c>
      <c r="E441" t="inlineStr">
        <is>
          <t>Grids</t>
        </is>
      </c>
      <c r="F441" t="inlineStr">
        <is>
          <t>Define Grid</t>
        </is>
      </c>
      <c r="T441" t="inlineStr">
        <is>
          <t>none</t>
        </is>
      </c>
      <c r="Z441">
        <f>IF(OR(K88="",K88="TABLE"),"",
_xlfn.TEXTJOIN(", ",TRUE,
IF(E88&lt;&gt;"",E88&amp;K88,""),
IF(F88&lt;&gt;"",F88&amp;K88,""),
IF(G88&lt;&gt;"",G88&amp;K88,"")
))</f>
        <v/>
      </c>
      <c r="AA441">
        <f>IF(K88="","",IF(K88="TABLE","",K88))</f>
        <v/>
      </c>
      <c r="AB441">
        <f>IF(ISNUMBER(SEARCH("기존변경필요",SUBSTITUTE(TRIM(V88),CHAR(10)," "))),"",
IFERROR(
  _xlfn.XLOOKUP(AA88,'기존 end point'!B:B,'기존 end point'!B:B,,0),
""))</f>
        <v/>
      </c>
    </row>
    <row r="442">
      <c r="A442" t="n">
        <v>87</v>
      </c>
      <c r="B442" t="inlineStr">
        <is>
          <t>civil-nx/gen-nx</t>
        </is>
      </c>
      <c r="C442" t="inlineStr">
        <is>
          <t>View</t>
        </is>
      </c>
      <c r="D442" t="inlineStr">
        <is>
          <t>Grids/Snap</t>
        </is>
      </c>
      <c r="E442" t="inlineStr">
        <is>
          <t>Snap</t>
        </is>
      </c>
      <c r="F442" t="inlineStr">
        <is>
          <t>Snap Control</t>
        </is>
      </c>
      <c r="T442" t="inlineStr">
        <is>
          <t>none</t>
        </is>
      </c>
      <c r="Z442">
        <f>IF(OR(K89="",K89="TABLE"),"",
_xlfn.TEXTJOIN(", ",TRUE,
IF(E89&lt;&gt;"",E89&amp;K89,""),
IF(F89&lt;&gt;"",F89&amp;K89,""),
IF(G89&lt;&gt;"",G89&amp;K89,"")
))</f>
        <v/>
      </c>
      <c r="AA442">
        <f>IF(K89="","",IF(K89="TABLE","",K89))</f>
        <v/>
      </c>
      <c r="AB442">
        <f>IF(ISNUMBER(SEARCH("기존변경필요",SUBSTITUTE(TRIM(V89),CHAR(10)," "))),"",
IFERROR(
  _xlfn.XLOOKUP(AA89,'기존 end point'!B:B,'기존 end point'!B:B,,0),
""))</f>
        <v/>
      </c>
    </row>
    <row r="443">
      <c r="A443" t="n">
        <v>88</v>
      </c>
      <c r="B443" t="inlineStr">
        <is>
          <t>civil-nx/gen-nx</t>
        </is>
      </c>
      <c r="C443" t="inlineStr">
        <is>
          <t>View</t>
        </is>
      </c>
      <c r="D443" t="inlineStr">
        <is>
          <t>Grids/Snap</t>
        </is>
      </c>
      <c r="E443" t="inlineStr">
        <is>
          <t>Snap</t>
        </is>
      </c>
      <c r="F443" t="inlineStr">
        <is>
          <t>Point</t>
        </is>
      </c>
      <c r="T443" t="inlineStr">
        <is>
          <t>none</t>
        </is>
      </c>
      <c r="Z443">
        <f>IF(OR(K90="",K90="TABLE"),"",
_xlfn.TEXTJOIN(", ",TRUE,
IF(E90&lt;&gt;"",E90&amp;K90,""),
IF(F90&lt;&gt;"",F90&amp;K90,""),
IF(G90&lt;&gt;"",G90&amp;K90,"")
))</f>
        <v/>
      </c>
      <c r="AA443">
        <f>IF(K90="","",IF(K90="TABLE","",K90))</f>
        <v/>
      </c>
      <c r="AB443">
        <f>IF(ISNUMBER(SEARCH("기존변경필요",SUBSTITUTE(TRIM(V90),CHAR(10)," "))),"",
IFERROR(
  _xlfn.XLOOKUP(AA90,'기존 end point'!B:B,'기존 end point'!B:B,,0),
""))</f>
        <v/>
      </c>
    </row>
    <row r="444">
      <c r="A444" t="n">
        <v>89</v>
      </c>
      <c r="B444" t="inlineStr">
        <is>
          <t>civil-nx/gen-nx</t>
        </is>
      </c>
      <c r="C444" t="inlineStr">
        <is>
          <t>View</t>
        </is>
      </c>
      <c r="D444" t="inlineStr">
        <is>
          <t>Grids/Snap</t>
        </is>
      </c>
      <c r="E444" t="inlineStr">
        <is>
          <t>Snap</t>
        </is>
      </c>
      <c r="F444" t="inlineStr">
        <is>
          <t>Line</t>
        </is>
      </c>
      <c r="T444" t="inlineStr">
        <is>
          <t>none</t>
        </is>
      </c>
      <c r="Z444">
        <f>IF(OR(K91="",K91="TABLE"),"",
_xlfn.TEXTJOIN(", ",TRUE,
IF(E91&lt;&gt;"",E91&amp;K91,""),
IF(F91&lt;&gt;"",F91&amp;K91,""),
IF(G91&lt;&gt;"",G91&amp;K91,"")
))</f>
        <v/>
      </c>
      <c r="AA444">
        <f>IF(K91="","",IF(K91="TABLE","",K91))</f>
        <v/>
      </c>
      <c r="AB444">
        <f>IF(ISNUMBER(SEARCH("기존변경필요",SUBSTITUTE(TRIM(V91),CHAR(10)," "))),"",
IFERROR(
  _xlfn.XLOOKUP(AA91,'기존 end point'!B:B,'기존 end point'!B:B,,0),
""))</f>
        <v/>
      </c>
    </row>
    <row r="445">
      <c r="A445" t="n">
        <v>90</v>
      </c>
      <c r="B445" t="inlineStr">
        <is>
          <t>civil-nx/gen-nx</t>
        </is>
      </c>
      <c r="C445" t="inlineStr">
        <is>
          <t>View</t>
        </is>
      </c>
      <c r="D445" t="inlineStr">
        <is>
          <t>Grids/Snap</t>
        </is>
      </c>
      <c r="E445" t="inlineStr">
        <is>
          <t>Snap</t>
        </is>
      </c>
      <c r="F445" t="inlineStr">
        <is>
          <t>Node</t>
        </is>
      </c>
      <c r="T445" t="inlineStr">
        <is>
          <t>none</t>
        </is>
      </c>
      <c r="Z445">
        <f>IF(OR(K92="",K92="TABLE"),"",
_xlfn.TEXTJOIN(", ",TRUE,
IF(E92&lt;&gt;"",E92&amp;K92,""),
IF(F92&lt;&gt;"",F92&amp;K92,""),
IF(G92&lt;&gt;"",G92&amp;K92,"")
))</f>
        <v/>
      </c>
      <c r="AA445">
        <f>IF(K92="","",IF(K92="TABLE","",K92))</f>
        <v/>
      </c>
      <c r="AB445">
        <f>IF(ISNUMBER(SEARCH("기존변경필요",SUBSTITUTE(TRIM(V92),CHAR(10)," "))),"",
IFERROR(
  _xlfn.XLOOKUP(AA92,'기존 end point'!B:B,'기존 end point'!B:B,,0),
""))</f>
        <v/>
      </c>
    </row>
    <row r="446">
      <c r="A446" t="n">
        <v>91</v>
      </c>
      <c r="B446" t="inlineStr">
        <is>
          <t>civil-nx/gen-nx</t>
        </is>
      </c>
      <c r="C446" t="inlineStr">
        <is>
          <t>View</t>
        </is>
      </c>
      <c r="D446" t="inlineStr">
        <is>
          <t>Grids/Snap</t>
        </is>
      </c>
      <c r="E446" t="inlineStr">
        <is>
          <t>Snap</t>
        </is>
      </c>
      <c r="F446" t="inlineStr">
        <is>
          <t>Element</t>
        </is>
      </c>
      <c r="T446" t="inlineStr">
        <is>
          <t>none</t>
        </is>
      </c>
      <c r="Z446">
        <f>IF(OR(K93="",K93="TABLE"),"",
_xlfn.TEXTJOIN(", ",TRUE,
IF(E93&lt;&gt;"",E93&amp;K93,""),
IF(F93&lt;&gt;"",F93&amp;K93,""),
IF(G93&lt;&gt;"",G93&amp;K93,"")
))</f>
        <v/>
      </c>
      <c r="AA446">
        <f>IF(K93="","",IF(K93="TABLE","",K93))</f>
        <v/>
      </c>
      <c r="AB446">
        <f>IF(ISNUMBER(SEARCH("기존변경필요",SUBSTITUTE(TRIM(V93),CHAR(10)," "))),"",
IFERROR(
  _xlfn.XLOOKUP(AA93,'기존 end point'!B:B,'기존 end point'!B:B,,0),
""))</f>
        <v/>
      </c>
    </row>
    <row r="447">
      <c r="A447" t="n">
        <v>92</v>
      </c>
      <c r="B447" t="inlineStr">
        <is>
          <t>civil-nx/gen-nx</t>
        </is>
      </c>
      <c r="C447" t="inlineStr">
        <is>
          <t>View</t>
        </is>
      </c>
      <c r="D447" t="inlineStr">
        <is>
          <t>Grids/Snap</t>
        </is>
      </c>
      <c r="E447" t="inlineStr">
        <is>
          <t>Snap</t>
        </is>
      </c>
      <c r="F447" t="inlineStr">
        <is>
          <t>Tracing Line</t>
        </is>
      </c>
      <c r="T447" t="inlineStr">
        <is>
          <t>none</t>
        </is>
      </c>
      <c r="Z447">
        <f>IF(OR(K94="",K94="TABLE"),"",
_xlfn.TEXTJOIN(", ",TRUE,
IF(E94&lt;&gt;"",E94&amp;K94,""),
IF(F94&lt;&gt;"",F94&amp;K94,""),
IF(G94&lt;&gt;"",G94&amp;K94,"")
))</f>
        <v/>
      </c>
      <c r="AA447">
        <f>IF(K94="","",IF(K94="TABLE","",K94))</f>
        <v/>
      </c>
      <c r="AB447">
        <f>IF(ISNUMBER(SEARCH("기존변경필요",SUBSTITUTE(TRIM(V94),CHAR(10)," "))),"",
IFERROR(
  _xlfn.XLOOKUP(AA94,'기존 end point'!B:B,'기존 end point'!B:B,,0),
""))</f>
        <v/>
      </c>
    </row>
    <row r="448">
      <c r="A448" t="n">
        <v>93</v>
      </c>
      <c r="B448" t="inlineStr">
        <is>
          <t>civil-nx/gen-nx</t>
        </is>
      </c>
      <c r="C448" t="inlineStr">
        <is>
          <t>View</t>
        </is>
      </c>
      <c r="D448" t="inlineStr">
        <is>
          <t>Grids/Snap</t>
        </is>
      </c>
      <c r="E448" t="inlineStr">
        <is>
          <t>Snap</t>
        </is>
      </c>
      <c r="F448" t="inlineStr">
        <is>
          <t>All</t>
        </is>
      </c>
      <c r="T448" t="inlineStr">
        <is>
          <t>none</t>
        </is>
      </c>
      <c r="Z448">
        <f>IF(OR(K95="",K95="TABLE"),"",
_xlfn.TEXTJOIN(", ",TRUE,
IF(E95&lt;&gt;"",E95&amp;K95,""),
IF(F95&lt;&gt;"",F95&amp;K95,""),
IF(G95&lt;&gt;"",G95&amp;K95,"")
))</f>
        <v/>
      </c>
      <c r="AA448">
        <f>IF(K95="","",IF(K95="TABLE","",K95))</f>
        <v/>
      </c>
      <c r="AB448">
        <f>IF(ISNUMBER(SEARCH("기존변경필요",SUBSTITUTE(TRIM(V95),CHAR(10)," "))),"",
IFERROR(
  _xlfn.XLOOKUP(AA95,'기존 end point'!B:B,'기존 end point'!B:B,,0),
""))</f>
        <v/>
      </c>
    </row>
    <row r="449">
      <c r="A449" t="n">
        <v>94</v>
      </c>
      <c r="B449" t="inlineStr">
        <is>
          <t>civil-nx/gen-nx</t>
        </is>
      </c>
      <c r="C449" t="inlineStr">
        <is>
          <t>View</t>
        </is>
      </c>
      <c r="D449" t="inlineStr">
        <is>
          <t>Grids/Snap</t>
        </is>
      </c>
      <c r="E449" t="inlineStr">
        <is>
          <t>Snap</t>
        </is>
      </c>
      <c r="F449" t="inlineStr">
        <is>
          <t>Free</t>
        </is>
      </c>
      <c r="T449" t="inlineStr">
        <is>
          <t>none</t>
        </is>
      </c>
      <c r="Z449">
        <f>IF(OR(K96="",K96="TABLE"),"",
_xlfn.TEXTJOIN(", ",TRUE,
IF(E96&lt;&gt;"",E96&amp;K96,""),
IF(F96&lt;&gt;"",F96&amp;K96,""),
IF(G96&lt;&gt;"",G96&amp;K96,"")
))</f>
        <v/>
      </c>
      <c r="AA449">
        <f>IF(K96="","",IF(K96="TABLE","",K96))</f>
        <v/>
      </c>
      <c r="AB449">
        <f>IF(ISNUMBER(SEARCH("기존변경필요",SUBSTITUTE(TRIM(V96),CHAR(10)," "))),"",
IFERROR(
  _xlfn.XLOOKUP(AA96,'기존 end point'!B:B,'기존 end point'!B:B,,0),
""))</f>
        <v/>
      </c>
    </row>
    <row r="450">
      <c r="A450" t="n">
        <v>95</v>
      </c>
      <c r="B450" t="inlineStr">
        <is>
          <t>civil-nx/gen-nx</t>
        </is>
      </c>
      <c r="C450" t="inlineStr">
        <is>
          <t>View</t>
        </is>
      </c>
      <c r="D450" t="inlineStr">
        <is>
          <t>Window</t>
        </is>
      </c>
      <c r="E450" t="inlineStr">
        <is>
          <t>Window</t>
        </is>
      </c>
      <c r="F450" t="inlineStr">
        <is>
          <t>New Window</t>
        </is>
      </c>
      <c r="T450" t="inlineStr">
        <is>
          <t>none</t>
        </is>
      </c>
      <c r="Z450">
        <f>IF(OR(K97="",K97="TABLE"),"",
_xlfn.TEXTJOIN(", ",TRUE,
IF(E97&lt;&gt;"",E97&amp;K97,""),
IF(F97&lt;&gt;"",F97&amp;K97,""),
IF(G97&lt;&gt;"",G97&amp;K97,"")
))</f>
        <v/>
      </c>
      <c r="AA450">
        <f>IF(K97="","",IF(K97="TABLE","",K97))</f>
        <v/>
      </c>
      <c r="AB450">
        <f>IF(ISNUMBER(SEARCH("기존변경필요",SUBSTITUTE(TRIM(V97),CHAR(10)," "))),"",
IFERROR(
  _xlfn.XLOOKUP(AA97,'기존 end point'!B:B,'기존 end point'!B:B,,0),
""))</f>
        <v/>
      </c>
    </row>
    <row r="451">
      <c r="A451" t="n">
        <v>96</v>
      </c>
      <c r="B451" t="inlineStr">
        <is>
          <t>civil-nx/gen-nx</t>
        </is>
      </c>
      <c r="C451" t="inlineStr">
        <is>
          <t>View</t>
        </is>
      </c>
      <c r="D451" t="inlineStr">
        <is>
          <t>Window</t>
        </is>
      </c>
      <c r="E451" t="inlineStr">
        <is>
          <t>Window</t>
        </is>
      </c>
      <c r="F451" t="inlineStr">
        <is>
          <t>Close</t>
        </is>
      </c>
      <c r="T451" t="inlineStr">
        <is>
          <t>none</t>
        </is>
      </c>
      <c r="Z451">
        <f>IF(OR(K98="",K98="TABLE"),"",
_xlfn.TEXTJOIN(", ",TRUE,
IF(E98&lt;&gt;"",E98&amp;K98,""),
IF(F98&lt;&gt;"",F98&amp;K98,""),
IF(G98&lt;&gt;"",G98&amp;K98,"")
))</f>
        <v/>
      </c>
      <c r="AA451">
        <f>IF(K98="","",IF(K98="TABLE","",K98))</f>
        <v/>
      </c>
      <c r="AB451">
        <f>IF(ISNUMBER(SEARCH("기존변경필요",SUBSTITUTE(TRIM(V98),CHAR(10)," "))),"",
IFERROR(
  _xlfn.XLOOKUP(AA98,'기존 end point'!B:B,'기존 end point'!B:B,,0),
""))</f>
        <v/>
      </c>
    </row>
    <row r="452">
      <c r="A452" t="n">
        <v>97</v>
      </c>
      <c r="B452" t="inlineStr">
        <is>
          <t>civil-nx/gen-nx</t>
        </is>
      </c>
      <c r="C452" t="inlineStr">
        <is>
          <t>View</t>
        </is>
      </c>
      <c r="D452" t="inlineStr">
        <is>
          <t>Window</t>
        </is>
      </c>
      <c r="E452" t="inlineStr">
        <is>
          <t>Window</t>
        </is>
      </c>
      <c r="F452" t="inlineStr">
        <is>
          <t>Close All</t>
        </is>
      </c>
      <c r="T452" t="inlineStr">
        <is>
          <t>none</t>
        </is>
      </c>
      <c r="Z452">
        <f>IF(OR(K99="",K99="TABLE"),"",
_xlfn.TEXTJOIN(", ",TRUE,
IF(E99&lt;&gt;"",E99&amp;K99,""),
IF(F99&lt;&gt;"",F99&amp;K99,""),
IF(G99&lt;&gt;"",G99&amp;K99,"")
))</f>
        <v/>
      </c>
      <c r="AA452">
        <f>IF(K99="","",IF(K99="TABLE","",K99))</f>
        <v/>
      </c>
      <c r="AB452">
        <f>IF(ISNUMBER(SEARCH("기존변경필요",SUBSTITUTE(TRIM(V99),CHAR(10)," "))),"",
IFERROR(
  _xlfn.XLOOKUP(AA99,'기존 end point'!B:B,'기존 end point'!B:B,,0),
""))</f>
        <v/>
      </c>
    </row>
    <row r="453">
      <c r="A453" t="n">
        <v>98</v>
      </c>
      <c r="B453" t="inlineStr">
        <is>
          <t>civil-nx/gen-nx</t>
        </is>
      </c>
      <c r="C453" t="inlineStr">
        <is>
          <t>View</t>
        </is>
      </c>
      <c r="D453" t="inlineStr">
        <is>
          <t>Window</t>
        </is>
      </c>
      <c r="E453" t="inlineStr">
        <is>
          <t>Window</t>
        </is>
      </c>
      <c r="F453" t="inlineStr">
        <is>
          <t>Next</t>
        </is>
      </c>
      <c r="T453" t="inlineStr">
        <is>
          <t>none</t>
        </is>
      </c>
      <c r="Z453">
        <f>IF(OR(K100="",K100="TABLE"),"",
_xlfn.TEXTJOIN(", ",TRUE,
IF(E100&lt;&gt;"",E100&amp;K100,""),
IF(F100&lt;&gt;"",F100&amp;K100,""),
IF(G100&lt;&gt;"",G100&amp;K100,"")
))</f>
        <v/>
      </c>
      <c r="AA453">
        <f>IF(K100="","",IF(K100="TABLE","",K100))</f>
        <v/>
      </c>
      <c r="AB453">
        <f>IF(ISNUMBER(SEARCH("기존변경필요",SUBSTITUTE(TRIM(V100),CHAR(10)," "))),"",
IFERROR(
  _xlfn.XLOOKUP(AA100,'기존 end point'!B:B,'기존 end point'!B:B,,0),
""))</f>
        <v/>
      </c>
    </row>
    <row r="454">
      <c r="A454" t="n">
        <v>99</v>
      </c>
      <c r="B454" t="inlineStr">
        <is>
          <t>civil-nx/gen-nx</t>
        </is>
      </c>
      <c r="C454" t="inlineStr">
        <is>
          <t>View</t>
        </is>
      </c>
      <c r="D454" t="inlineStr">
        <is>
          <t>Window</t>
        </is>
      </c>
      <c r="E454" t="inlineStr">
        <is>
          <t>Window</t>
        </is>
      </c>
      <c r="F454" t="inlineStr">
        <is>
          <t>Previous</t>
        </is>
      </c>
      <c r="T454" t="inlineStr">
        <is>
          <t>none</t>
        </is>
      </c>
      <c r="Z454">
        <f>IF(OR(K101="",K101="TABLE"),"",
_xlfn.TEXTJOIN(", ",TRUE,
IF(E101&lt;&gt;"",E101&amp;K101,""),
IF(F101&lt;&gt;"",F101&amp;K101,""),
IF(G101&lt;&gt;"",G101&amp;K101,"")
))</f>
        <v/>
      </c>
      <c r="AA454">
        <f>IF(K101="","",IF(K101="TABLE","",K101))</f>
        <v/>
      </c>
      <c r="AB454">
        <f>IF(ISNUMBER(SEARCH("기존변경필요",SUBSTITUTE(TRIM(V101),CHAR(10)," "))),"",
IFERROR(
  _xlfn.XLOOKUP(AA101,'기존 end point'!B:B,'기존 end point'!B:B,,0),
""))</f>
        <v/>
      </c>
    </row>
    <row r="455">
      <c r="A455" t="n">
        <v>100</v>
      </c>
      <c r="B455" t="inlineStr">
        <is>
          <t>civil-nx/gen-nx</t>
        </is>
      </c>
      <c r="C455" t="inlineStr">
        <is>
          <t>View</t>
        </is>
      </c>
      <c r="D455" t="inlineStr">
        <is>
          <t>Window</t>
        </is>
      </c>
      <c r="E455" t="inlineStr">
        <is>
          <t>Tile</t>
        </is>
      </c>
      <c r="F455" t="inlineStr">
        <is>
          <t>Cascade</t>
        </is>
      </c>
      <c r="T455" t="inlineStr">
        <is>
          <t>none</t>
        </is>
      </c>
      <c r="Z455">
        <f>IF(OR(K102="",K102="TABLE"),"",
_xlfn.TEXTJOIN(", ",TRUE,
IF(E102&lt;&gt;"",E102&amp;K102,""),
IF(F102&lt;&gt;"",F102&amp;K102,""),
IF(G102&lt;&gt;"",G102&amp;K102,"")
))</f>
        <v/>
      </c>
      <c r="AA455">
        <f>IF(K102="","",IF(K102="TABLE","",K102))</f>
        <v/>
      </c>
      <c r="AB455">
        <f>IF(ISNUMBER(SEARCH("기존변경필요",SUBSTITUTE(TRIM(V102),CHAR(10)," "))),"",
IFERROR(
  _xlfn.XLOOKUP(AA102,'기존 end point'!B:B,'기존 end point'!B:B,,0),
""))</f>
        <v/>
      </c>
    </row>
    <row r="456">
      <c r="A456" t="n">
        <v>101</v>
      </c>
      <c r="B456" t="inlineStr">
        <is>
          <t>civil-nx/gen-nx</t>
        </is>
      </c>
      <c r="C456" t="inlineStr">
        <is>
          <t>View</t>
        </is>
      </c>
      <c r="D456" t="inlineStr">
        <is>
          <t>Window</t>
        </is>
      </c>
      <c r="E456" t="inlineStr">
        <is>
          <t>Tile</t>
        </is>
      </c>
      <c r="F456" t="inlineStr">
        <is>
          <t>Tile Horizontally</t>
        </is>
      </c>
      <c r="T456" t="inlineStr">
        <is>
          <t>none</t>
        </is>
      </c>
      <c r="Z456">
        <f>IF(OR(K103="",K103="TABLE"),"",
_xlfn.TEXTJOIN(", ",TRUE,
IF(E103&lt;&gt;"",E103&amp;K103,""),
IF(F103&lt;&gt;"",F103&amp;K103,""),
IF(G103&lt;&gt;"",G103&amp;K103,"")
))</f>
        <v/>
      </c>
      <c r="AA456">
        <f>IF(K103="","",IF(K103="TABLE","",K103))</f>
        <v/>
      </c>
      <c r="AB456">
        <f>IF(ISNUMBER(SEARCH("기존변경필요",SUBSTITUTE(TRIM(V103),CHAR(10)," "))),"",
IFERROR(
  _xlfn.XLOOKUP(AA103,'기존 end point'!B:B,'기존 end point'!B:B,,0),
""))</f>
        <v/>
      </c>
    </row>
    <row r="457">
      <c r="A457" t="n">
        <v>102</v>
      </c>
      <c r="B457" t="inlineStr">
        <is>
          <t>civil-nx/gen-nx</t>
        </is>
      </c>
      <c r="C457" t="inlineStr">
        <is>
          <t>View</t>
        </is>
      </c>
      <c r="D457" t="inlineStr">
        <is>
          <t>Window</t>
        </is>
      </c>
      <c r="E457" t="inlineStr">
        <is>
          <t>Tile</t>
        </is>
      </c>
      <c r="F457" t="inlineStr">
        <is>
          <t>Tile Vertically</t>
        </is>
      </c>
      <c r="T457" t="inlineStr">
        <is>
          <t>none</t>
        </is>
      </c>
      <c r="Z457">
        <f>IF(OR(K104="",K104="TABLE"),"",
_xlfn.TEXTJOIN(", ",TRUE,
IF(E104&lt;&gt;"",E104&amp;K104,""),
IF(F104&lt;&gt;"",F104&amp;K104,""),
IF(G104&lt;&gt;"",G104&amp;K104,"")
))</f>
        <v/>
      </c>
      <c r="AA457">
        <f>IF(K104="","",IF(K104="TABLE","",K104))</f>
        <v/>
      </c>
      <c r="AB457">
        <f>IF(ISNUMBER(SEARCH("기존변경필요",SUBSTITUTE(TRIM(V104),CHAR(10)," "))),"",
IFERROR(
  _xlfn.XLOOKUP(AA104,'기존 end point'!B:B,'기존 end point'!B:B,,0),
""))</f>
        <v/>
      </c>
    </row>
    <row r="458">
      <c r="A458" t="n">
        <v>103</v>
      </c>
      <c r="B458" t="inlineStr">
        <is>
          <t>civil-nx/gen-nx</t>
        </is>
      </c>
      <c r="C458" t="inlineStr">
        <is>
          <t>View</t>
        </is>
      </c>
      <c r="D458" t="inlineStr">
        <is>
          <t>Coordinate System</t>
        </is>
      </c>
      <c r="E458" t="inlineStr">
        <is>
          <t>UCS/GCS</t>
        </is>
      </c>
      <c r="F458" t="inlineStr">
        <is>
          <t>UCS</t>
        </is>
      </c>
      <c r="T458" t="inlineStr">
        <is>
          <t>none</t>
        </is>
      </c>
      <c r="Z458">
        <f>IF(OR(K105="",K105="TABLE"),"",
_xlfn.TEXTJOIN(", ",TRUE,
IF(E105&lt;&gt;"",E105&amp;K105,""),
IF(F105&lt;&gt;"",F105&amp;K105,""),
IF(G105&lt;&gt;"",G105&amp;K105,"")
))</f>
        <v/>
      </c>
      <c r="AA458">
        <f>IF(K105="","",IF(K105="TABLE","",K105))</f>
        <v/>
      </c>
      <c r="AB458">
        <f>IF(ISNUMBER(SEARCH("기존변경필요",SUBSTITUTE(TRIM(V105),CHAR(10)," "))),"",
IFERROR(
  _xlfn.XLOOKUP(AA105,'기존 end point'!B:B,'기존 end point'!B:B,,0),
""))</f>
        <v/>
      </c>
    </row>
    <row r="459">
      <c r="A459" t="n">
        <v>104</v>
      </c>
      <c r="B459" t="inlineStr">
        <is>
          <t>civil-nx/gen-nx</t>
        </is>
      </c>
      <c r="C459" t="inlineStr">
        <is>
          <t>View</t>
        </is>
      </c>
      <c r="D459" t="inlineStr">
        <is>
          <t>Coordinate System</t>
        </is>
      </c>
      <c r="E459" t="inlineStr">
        <is>
          <t>UCS/GCS</t>
        </is>
      </c>
      <c r="F459" t="inlineStr">
        <is>
          <t>GCS</t>
        </is>
      </c>
      <c r="T459" t="inlineStr">
        <is>
          <t>none</t>
        </is>
      </c>
      <c r="Z459">
        <f>IF(OR(K106="",K106="TABLE"),"",
_xlfn.TEXTJOIN(", ",TRUE,
IF(E106&lt;&gt;"",E106&amp;K106,""),
IF(F106&lt;&gt;"",F106&amp;K106,""),
IF(G106&lt;&gt;"",G106&amp;K106,"")
))</f>
        <v/>
      </c>
      <c r="AA459">
        <f>IF(K106="","",IF(K106="TABLE","",K106))</f>
        <v/>
      </c>
      <c r="AB459">
        <f>IF(ISNUMBER(SEARCH("기존변경필요",SUBSTITUTE(TRIM(V106),CHAR(10)," "))),"",
IFERROR(
  _xlfn.XLOOKUP(AA106,'기존 end point'!B:B,'기존 end point'!B:B,,0),
""))</f>
        <v/>
      </c>
    </row>
    <row r="460">
      <c r="A460" t="n">
        <v>105</v>
      </c>
      <c r="B460" t="inlineStr">
        <is>
          <t>civil-nx/gen-nx</t>
        </is>
      </c>
      <c r="C460" t="inlineStr">
        <is>
          <t>View</t>
        </is>
      </c>
      <c r="D460" t="inlineStr">
        <is>
          <t>Coordinate System</t>
        </is>
      </c>
      <c r="E460" t="inlineStr">
        <is>
          <t>Define UCS</t>
        </is>
      </c>
      <c r="T460" t="inlineStr">
        <is>
          <t>none</t>
        </is>
      </c>
      <c r="Z460">
        <f>IF(OR(K107="",K107="TABLE"),"",
_xlfn.TEXTJOIN(", ",TRUE,
IF(E107&lt;&gt;"",E107&amp;K107,""),
IF(F107&lt;&gt;"",F107&amp;K107,""),
IF(G107&lt;&gt;"",G107&amp;K107,"")
))</f>
        <v/>
      </c>
      <c r="AA460">
        <f>IF(K107="","",IF(K107="TABLE","",K107))</f>
        <v/>
      </c>
      <c r="AB460">
        <f>IF(ISNUMBER(SEARCH("기존변경필요",SUBSTITUTE(TRIM(V107),CHAR(10)," "))),"",
IFERROR(
  _xlfn.XLOOKUP(AA107,'기존 end point'!B:B,'기존 end point'!B:B,,0),
""))</f>
        <v/>
      </c>
    </row>
    <row r="461">
      <c r="A461" t="n">
        <v>106</v>
      </c>
      <c r="B461" t="inlineStr">
        <is>
          <t>gen-nx</t>
        </is>
      </c>
      <c r="C461" t="inlineStr">
        <is>
          <t>View</t>
        </is>
      </c>
      <c r="D461" t="inlineStr">
        <is>
          <t>Dimension</t>
        </is>
      </c>
      <c r="E461" t="inlineStr">
        <is>
          <t>Dimension</t>
        </is>
      </c>
      <c r="T461" t="inlineStr">
        <is>
          <t>none</t>
        </is>
      </c>
      <c r="Z461">
        <f>IF(OR(K108="",K108="TABLE"),"",
_xlfn.TEXTJOIN(", ",TRUE,
IF(E108&lt;&gt;"",E108&amp;K108,""),
IF(F108&lt;&gt;"",F108&amp;K108,""),
IF(G108&lt;&gt;"",G108&amp;K108,"")
))</f>
        <v/>
      </c>
      <c r="AA461">
        <f>IF(K108="","",IF(K108="TABLE","",K108))</f>
        <v/>
      </c>
      <c r="AB461">
        <f>IF(ISNUMBER(SEARCH("기존변경필요",SUBSTITUTE(TRIM(V108),CHAR(10)," "))),"",
IFERROR(
  _xlfn.XLOOKUP(AA108,'기존 end point'!B:B,'기존 end point'!B:B,,0),
""))</f>
        <v/>
      </c>
    </row>
    <row r="462">
      <c r="A462" t="n">
        <v>107</v>
      </c>
      <c r="B462" t="inlineStr">
        <is>
          <t>civil-nx/gen-nx</t>
        </is>
      </c>
      <c r="C462" t="inlineStr">
        <is>
          <t>View</t>
        </is>
      </c>
      <c r="D462" t="inlineStr">
        <is>
          <t>Screen</t>
        </is>
      </c>
      <c r="E462" t="inlineStr">
        <is>
          <t>Full Screen</t>
        </is>
      </c>
      <c r="T462" t="inlineStr">
        <is>
          <t>none</t>
        </is>
      </c>
      <c r="Z462">
        <f>IF(OR(K109="",K109="TABLE"),"",
_xlfn.TEXTJOIN(", ",TRUE,
IF(E109&lt;&gt;"",E109&amp;K109,""),
IF(F109&lt;&gt;"",F109&amp;K109,""),
IF(G109&lt;&gt;"",G109&amp;K109,"")
))</f>
        <v/>
      </c>
      <c r="AA462">
        <f>IF(K109="","",IF(K109="TABLE","",K109))</f>
        <v/>
      </c>
      <c r="AB462">
        <f>IF(ISNUMBER(SEARCH("기존변경필요",SUBSTITUTE(TRIM(V109),CHAR(10)," "))),"",
IFERROR(
  _xlfn.XLOOKUP(AA109,'기존 end point'!B:B,'기존 end point'!B:B,,0),
""))</f>
        <v/>
      </c>
    </row>
    <row r="463">
      <c r="A463" t="n">
        <v>108</v>
      </c>
      <c r="B463" t="inlineStr">
        <is>
          <t>civil-nx/gen-nx</t>
        </is>
      </c>
      <c r="C463" t="inlineStr">
        <is>
          <t>Structure</t>
        </is>
      </c>
      <c r="D463" t="inlineStr">
        <is>
          <t>API</t>
        </is>
      </c>
      <c r="E463" t="inlineStr">
        <is>
          <t>New Project</t>
        </is>
      </c>
      <c r="H463" t="inlineStr">
        <is>
          <t>db</t>
        </is>
      </c>
      <c r="I463" t="inlineStr">
        <is>
          <t>span</t>
        </is>
      </c>
      <c r="K463">
        <f>_xlfn.TEXTAFTER(L110,"/",-1)</f>
        <v/>
      </c>
      <c r="L463" t="inlineStr">
        <is>
          <t>/db/span</t>
        </is>
      </c>
      <c r="M463" t="inlineStr">
        <is>
          <t>Span Information</t>
        </is>
      </c>
      <c r="N463" t="inlineStr">
        <is>
          <t>done</t>
        </is>
      </c>
      <c r="O463" t="inlineStr">
        <is>
          <t>done</t>
        </is>
      </c>
      <c r="P463" t="inlineStr">
        <is>
          <t>done</t>
        </is>
      </c>
      <c r="Q463" t="inlineStr">
        <is>
          <t>done</t>
        </is>
      </c>
      <c r="R463" t="inlineStr">
        <is>
          <t>done</t>
        </is>
      </c>
      <c r="S463" t="inlineStr">
        <is>
          <t>done</t>
        </is>
      </c>
      <c r="T463" t="inlineStr">
        <is>
          <t>Done</t>
        </is>
      </c>
      <c r="Z463">
        <f>IF(OR(K110="",K110="TABLE"),"",
_xlfn.TEXTJOIN(", ",TRUE,
IF(E110&lt;&gt;"",E110&amp;K110,""),
IF(F110&lt;&gt;"",F110&amp;K110,""),
IF(G110&lt;&gt;"",G110&amp;K110,"")
))</f>
        <v/>
      </c>
      <c r="AA463">
        <f>IF(K110="","",IF(K110="TABLE","",K110))</f>
        <v/>
      </c>
      <c r="AB463">
        <f>IF(ISNUMBER(SEARCH("기존변경필요",SUBSTITUTE(TRIM(V110),CHAR(10)," "))),"",
IFERROR(
  _xlfn.XLOOKUP(AA110,'기존 end point'!B:B,'기존 end point'!B:B,,0),
""))</f>
        <v/>
      </c>
    </row>
    <row r="464">
      <c r="A464" t="n">
        <v>109</v>
      </c>
      <c r="B464" t="inlineStr">
        <is>
          <t>civil-nx/gen-nx</t>
        </is>
      </c>
      <c r="C464" t="inlineStr">
        <is>
          <t>Structure</t>
        </is>
      </c>
      <c r="D464" t="inlineStr">
        <is>
          <t>API</t>
        </is>
      </c>
      <c r="E464" t="inlineStr">
        <is>
          <t>New Project</t>
        </is>
      </c>
      <c r="H464" t="inlineStr">
        <is>
          <t>db</t>
        </is>
      </c>
      <c r="I464" t="inlineStr">
        <is>
          <t>stor</t>
        </is>
      </c>
      <c r="K464">
        <f>_xlfn.TEXTAFTER(L111,"/",-1)</f>
        <v/>
      </c>
      <c r="L464" t="inlineStr">
        <is>
          <t>/db/stor</t>
        </is>
      </c>
      <c r="M464" t="inlineStr">
        <is>
          <t>Story Data</t>
        </is>
      </c>
      <c r="N464" t="inlineStr">
        <is>
          <t>done</t>
        </is>
      </c>
      <c r="O464" t="inlineStr">
        <is>
          <t>done</t>
        </is>
      </c>
      <c r="P464" t="inlineStr">
        <is>
          <t>done</t>
        </is>
      </c>
      <c r="Q464" t="inlineStr">
        <is>
          <t>done</t>
        </is>
      </c>
      <c r="R464" t="inlineStr">
        <is>
          <t>done</t>
        </is>
      </c>
      <c r="S464" t="inlineStr">
        <is>
          <t>done</t>
        </is>
      </c>
      <c r="T464" t="inlineStr">
        <is>
          <t>Done</t>
        </is>
      </c>
      <c r="Z464">
        <f>IF(OR(K111="",K111="TABLE"),"",
_xlfn.TEXTJOIN(", ",TRUE,
IF(E111&lt;&gt;"",E111&amp;K111,""),
IF(F111&lt;&gt;"",F111&amp;K111,""),
IF(G111&lt;&gt;"",G111&amp;K111,"")
))</f>
        <v/>
      </c>
      <c r="AA464">
        <f>IF(K111="","",IF(K111="TABLE","",K111))</f>
        <v/>
      </c>
      <c r="AB464">
        <f>IF(ISNUMBER(SEARCH("기존변경필요",SUBSTITUTE(TRIM(V111),CHAR(10)," "))),"",
IFERROR(
  _xlfn.XLOOKUP(AA111,'기존 end point'!B:B,'기존 end point'!B:B,,0),
""))</f>
        <v/>
      </c>
    </row>
    <row r="465">
      <c r="A465" t="n">
        <v>110</v>
      </c>
      <c r="B465" t="inlineStr">
        <is>
          <t>civil-nx/gen-nx</t>
        </is>
      </c>
      <c r="C465" t="inlineStr">
        <is>
          <t>Structure</t>
        </is>
      </c>
      <c r="D465" t="inlineStr">
        <is>
          <t>Type</t>
        </is>
      </c>
      <c r="E465" t="inlineStr">
        <is>
          <t>Structure Type</t>
        </is>
      </c>
      <c r="H465" t="inlineStr">
        <is>
          <t>db</t>
        </is>
      </c>
      <c r="I465" t="inlineStr">
        <is>
          <t>styp</t>
        </is>
      </c>
      <c r="K465">
        <f>_xlfn.TEXTAFTER(L112,"/",-1)</f>
        <v/>
      </c>
      <c r="L465" t="inlineStr">
        <is>
          <t>/db/styp</t>
        </is>
      </c>
      <c r="M465" t="inlineStr">
        <is>
          <t>Structure Type</t>
        </is>
      </c>
      <c r="N465" t="inlineStr">
        <is>
          <t>done</t>
        </is>
      </c>
      <c r="O465" t="inlineStr">
        <is>
          <t>done</t>
        </is>
      </c>
      <c r="P465" t="inlineStr">
        <is>
          <t>done</t>
        </is>
      </c>
      <c r="Q465" t="inlineStr">
        <is>
          <t>done</t>
        </is>
      </c>
      <c r="R465" t="inlineStr">
        <is>
          <t>done</t>
        </is>
      </c>
      <c r="S465" t="inlineStr">
        <is>
          <t>done</t>
        </is>
      </c>
      <c r="T465" t="inlineStr">
        <is>
          <t>Done</t>
        </is>
      </c>
      <c r="Z465">
        <f>IF(OR(K112="",K112="TABLE"),"",
_xlfn.TEXTJOIN(", ",TRUE,
IF(E112&lt;&gt;"",E112&amp;K112,""),
IF(F112&lt;&gt;"",F112&amp;K112,""),
IF(G112&lt;&gt;"",G112&amp;K112,"")
))</f>
        <v/>
      </c>
      <c r="AA465">
        <f>IF(K112="","",IF(K112="TABLE","",K112))</f>
        <v/>
      </c>
      <c r="AB465">
        <f>IF(ISNUMBER(SEARCH("기존변경필요",SUBSTITUTE(TRIM(V112),CHAR(10)," "))),"",
IFERROR(
  _xlfn.XLOOKUP(AA112,'기존 end point'!B:B,'기존 end point'!B:B,,0),
""))</f>
        <v/>
      </c>
    </row>
    <row r="466">
      <c r="A466" t="n">
        <v>111</v>
      </c>
      <c r="B466" t="inlineStr">
        <is>
          <t>gen-nx</t>
        </is>
      </c>
      <c r="C466" t="inlineStr">
        <is>
          <t>Structure</t>
        </is>
      </c>
      <c r="D466" t="inlineStr">
        <is>
          <t>Building</t>
        </is>
      </c>
      <c r="E466" t="inlineStr">
        <is>
          <t>Control Data</t>
        </is>
      </c>
      <c r="T466" t="inlineStr">
        <is>
          <t>none</t>
        </is>
      </c>
      <c r="Z466">
        <f>IF(OR(K113="",K113="TABLE"),"",
_xlfn.TEXTJOIN(", ",TRUE,
IF(E113&lt;&gt;"",E113&amp;K113,""),
IF(F113&lt;&gt;"",F113&amp;K113,""),
IF(G113&lt;&gt;"",G113&amp;K113,"")
))</f>
        <v/>
      </c>
      <c r="AA466">
        <f>IF(K113="","",IF(K113="TABLE","",K113))</f>
        <v/>
      </c>
      <c r="AB466">
        <f>IF(ISNUMBER(SEARCH("기존변경필요",SUBSTITUTE(TRIM(V113),CHAR(10)," "))),"",
IFERROR(
  _xlfn.XLOOKUP(AA113,'기존 end point'!B:B,'기존 end point'!B:B,,0),
""))</f>
        <v/>
      </c>
    </row>
    <row r="467">
      <c r="A467" t="n">
        <v>112</v>
      </c>
      <c r="B467" t="inlineStr">
        <is>
          <t>gen-nx</t>
        </is>
      </c>
      <c r="C467" t="inlineStr">
        <is>
          <t>Structure</t>
        </is>
      </c>
      <c r="D467" t="inlineStr">
        <is>
          <t>Building</t>
        </is>
      </c>
      <c r="E467" t="inlineStr">
        <is>
          <t>Story</t>
        </is>
      </c>
      <c r="T467" t="inlineStr">
        <is>
          <t>none</t>
        </is>
      </c>
      <c r="Z467">
        <f>IF(OR(K114="",K114="TABLE"),"",
_xlfn.TEXTJOIN(", ",TRUE,
IF(E114&lt;&gt;"",E114&amp;K114,""),
IF(F114&lt;&gt;"",F114&amp;K114,""),
IF(G114&lt;&gt;"",G114&amp;K114,"")
))</f>
        <v/>
      </c>
      <c r="AA467">
        <f>IF(K114="","",IF(K114="TABLE","",K114))</f>
        <v/>
      </c>
      <c r="AB467">
        <f>IF(ISNUMBER(SEARCH("기존변경필요",SUBSTITUTE(TRIM(V114),CHAR(10)," "))),"",
IFERROR(
  _xlfn.XLOOKUP(AA114,'기존 end point'!B:B,'기존 end point'!B:B,,0),
""))</f>
        <v/>
      </c>
    </row>
    <row r="468">
      <c r="A468" t="n">
        <v>113</v>
      </c>
      <c r="B468" t="inlineStr">
        <is>
          <t>gen-nx</t>
        </is>
      </c>
      <c r="C468" t="inlineStr">
        <is>
          <t>Structure</t>
        </is>
      </c>
      <c r="D468" t="inlineStr">
        <is>
          <t>Building</t>
        </is>
      </c>
      <c r="E468" t="inlineStr">
        <is>
          <t>Building Generation</t>
        </is>
      </c>
      <c r="T468" t="inlineStr">
        <is>
          <t>none</t>
        </is>
      </c>
      <c r="Z468">
        <f>IF(OR(K115="",K115="TABLE"),"",
_xlfn.TEXTJOIN(", ",TRUE,
IF(E115&lt;&gt;"",E115&amp;K115,""),
IF(F115&lt;&gt;"",F115&amp;K115,""),
IF(G115&lt;&gt;"",G115&amp;K115,"")
))</f>
        <v/>
      </c>
      <c r="AA468">
        <f>IF(K115="","",IF(K115="TABLE","",K115))</f>
        <v/>
      </c>
      <c r="AB468">
        <f>IF(ISNUMBER(SEARCH("기존변경필요",SUBSTITUTE(TRIM(V115),CHAR(10)," "))),"",
IFERROR(
  _xlfn.XLOOKUP(AA115,'기존 end point'!B:B,'기존 end point'!B:B,,0),
""))</f>
        <v/>
      </c>
    </row>
    <row r="469">
      <c r="A469" t="n">
        <v>114</v>
      </c>
      <c r="B469" t="inlineStr">
        <is>
          <t>gen-nx</t>
        </is>
      </c>
      <c r="C469" t="inlineStr">
        <is>
          <t>Structure</t>
        </is>
      </c>
      <c r="D469" t="inlineStr">
        <is>
          <t>Building</t>
        </is>
      </c>
      <c r="E469" t="inlineStr">
        <is>
          <t>Auto Wall ID Generation</t>
        </is>
      </c>
      <c r="T469" t="inlineStr">
        <is>
          <t>none</t>
        </is>
      </c>
      <c r="Z469">
        <f>IF(OR(K116="",K116="TABLE"),"",
_xlfn.TEXTJOIN(", ",TRUE,
IF(E116&lt;&gt;"",E116&amp;K116,""),
IF(F116&lt;&gt;"",F116&amp;K116,""),
IF(G116&lt;&gt;"",G116&amp;K116,"")
))</f>
        <v/>
      </c>
      <c r="AA469">
        <f>IF(K116="","",IF(K116="TABLE","",K116))</f>
        <v/>
      </c>
      <c r="AB469">
        <f>IF(ISNUMBER(SEARCH("기존변경필요",SUBSTITUTE(TRIM(V116),CHAR(10)," "))),"",
IFERROR(
  _xlfn.XLOOKUP(AA116,'기존 end point'!B:B,'기존 end point'!B:B,,0),
""))</f>
        <v/>
      </c>
    </row>
    <row r="470">
      <c r="A470" t="n">
        <v>115</v>
      </c>
      <c r="B470" t="inlineStr">
        <is>
          <t>civil-nx/gen-nx</t>
        </is>
      </c>
      <c r="C470" t="inlineStr">
        <is>
          <t>Structure</t>
        </is>
      </c>
      <c r="D470" t="inlineStr">
        <is>
          <t>Group</t>
        </is>
      </c>
      <c r="E470" t="inlineStr">
        <is>
          <t>Group</t>
        </is>
      </c>
      <c r="F470" t="inlineStr">
        <is>
          <t>Structure Group</t>
        </is>
      </c>
      <c r="H470" t="inlineStr">
        <is>
          <t>db</t>
        </is>
      </c>
      <c r="I470" t="inlineStr">
        <is>
          <t>grup</t>
        </is>
      </c>
      <c r="K470">
        <f>_xlfn.TEXTAFTER(L117,"/",-1)</f>
        <v/>
      </c>
      <c r="L470" t="inlineStr">
        <is>
          <t>/db/grup</t>
        </is>
      </c>
      <c r="M470" t="inlineStr">
        <is>
          <t>Structure Group</t>
        </is>
      </c>
      <c r="N470" t="inlineStr">
        <is>
          <t>done</t>
        </is>
      </c>
      <c r="O470" t="inlineStr">
        <is>
          <t>done</t>
        </is>
      </c>
      <c r="P470" t="inlineStr">
        <is>
          <t>done</t>
        </is>
      </c>
      <c r="Q470" t="inlineStr">
        <is>
          <t>done</t>
        </is>
      </c>
      <c r="R470" t="inlineStr">
        <is>
          <t>done</t>
        </is>
      </c>
      <c r="S470" t="inlineStr">
        <is>
          <t>done</t>
        </is>
      </c>
      <c r="T470" t="inlineStr">
        <is>
          <t>Done</t>
        </is>
      </c>
      <c r="Z470">
        <f>IF(OR(K117="",K117="TABLE"),"",
_xlfn.TEXTJOIN(", ",TRUE,
IF(E117&lt;&gt;"",E117&amp;K117,""),
IF(F117&lt;&gt;"",F117&amp;K117,""),
IF(G117&lt;&gt;"",G117&amp;K117,"")
))</f>
        <v/>
      </c>
      <c r="AA470">
        <f>IF(K117="","",IF(K117="TABLE","",K117))</f>
        <v/>
      </c>
      <c r="AB470">
        <f>IF(ISNUMBER(SEARCH("기존변경필요",SUBSTITUTE(TRIM(V117),CHAR(10)," "))),"",
IFERROR(
  _xlfn.XLOOKUP(AA117,'기존 end point'!B:B,'기존 end point'!B:B,,0),
""))</f>
        <v/>
      </c>
    </row>
    <row r="471">
      <c r="A471" t="n">
        <v>116</v>
      </c>
      <c r="B471" t="inlineStr">
        <is>
          <t>civil-nx/gen-nx</t>
        </is>
      </c>
      <c r="C471" t="inlineStr">
        <is>
          <t>Structure</t>
        </is>
      </c>
      <c r="D471" t="inlineStr">
        <is>
          <t>Group</t>
        </is>
      </c>
      <c r="E471" t="inlineStr">
        <is>
          <t>Group</t>
        </is>
      </c>
      <c r="F471" t="inlineStr">
        <is>
          <t>Boundary Group</t>
        </is>
      </c>
      <c r="H471" t="inlineStr">
        <is>
          <t>db</t>
        </is>
      </c>
      <c r="I471" t="inlineStr">
        <is>
          <t>bngr</t>
        </is>
      </c>
      <c r="K471">
        <f>_xlfn.TEXTAFTER(L118,"/",-1)</f>
        <v/>
      </c>
      <c r="L471" t="inlineStr">
        <is>
          <t>/db/bngr</t>
        </is>
      </c>
      <c r="M471" t="inlineStr">
        <is>
          <t>Boundary Group</t>
        </is>
      </c>
      <c r="N471" t="inlineStr">
        <is>
          <t>done</t>
        </is>
      </c>
      <c r="O471" t="inlineStr">
        <is>
          <t>done</t>
        </is>
      </c>
      <c r="P471" t="inlineStr">
        <is>
          <t>done</t>
        </is>
      </c>
      <c r="Q471" t="inlineStr">
        <is>
          <t>done</t>
        </is>
      </c>
      <c r="R471" t="inlineStr">
        <is>
          <t>done</t>
        </is>
      </c>
      <c r="S471" t="inlineStr">
        <is>
          <t>done</t>
        </is>
      </c>
      <c r="T471" t="inlineStr">
        <is>
          <t>Done</t>
        </is>
      </c>
      <c r="Z471">
        <f>IF(OR(K118="",K118="TABLE"),"",
_xlfn.TEXTJOIN(", ",TRUE,
IF(E118&lt;&gt;"",E118&amp;K118,""),
IF(F118&lt;&gt;"",F118&amp;K118,""),
IF(G118&lt;&gt;"",G118&amp;K118,"")
))</f>
        <v/>
      </c>
      <c r="AA471">
        <f>IF(K118="","",IF(K118="TABLE","",K118))</f>
        <v/>
      </c>
      <c r="AB471">
        <f>IF(ISNUMBER(SEARCH("기존변경필요",SUBSTITUTE(TRIM(V118),CHAR(10)," "))),"",
IFERROR(
  _xlfn.XLOOKUP(AA118,'기존 end point'!B:B,'기존 end point'!B:B,,0),
""))</f>
        <v/>
      </c>
    </row>
    <row r="472">
      <c r="A472" t="n">
        <v>117</v>
      </c>
      <c r="B472" t="inlineStr">
        <is>
          <t>civil-nx/gen-nx</t>
        </is>
      </c>
      <c r="C472" t="inlineStr">
        <is>
          <t>Structure</t>
        </is>
      </c>
      <c r="D472" t="inlineStr">
        <is>
          <t>Group</t>
        </is>
      </c>
      <c r="E472" t="inlineStr">
        <is>
          <t>Group</t>
        </is>
      </c>
      <c r="F472" t="inlineStr">
        <is>
          <t>Load Group</t>
        </is>
      </c>
      <c r="H472" t="inlineStr">
        <is>
          <t>db</t>
        </is>
      </c>
      <c r="I472" t="inlineStr">
        <is>
          <t>ldgr</t>
        </is>
      </c>
      <c r="K472">
        <f>_xlfn.TEXTAFTER(L119,"/",-1)</f>
        <v/>
      </c>
      <c r="L472" t="inlineStr">
        <is>
          <t>/db/ldgr</t>
        </is>
      </c>
      <c r="M472" t="inlineStr">
        <is>
          <t>Load Group</t>
        </is>
      </c>
      <c r="N472" t="inlineStr">
        <is>
          <t>done</t>
        </is>
      </c>
      <c r="O472" t="inlineStr">
        <is>
          <t>done</t>
        </is>
      </c>
      <c r="P472" t="inlineStr">
        <is>
          <t>done</t>
        </is>
      </c>
      <c r="Q472" t="inlineStr">
        <is>
          <t>done</t>
        </is>
      </c>
      <c r="R472" t="inlineStr">
        <is>
          <t>done</t>
        </is>
      </c>
      <c r="S472" t="inlineStr">
        <is>
          <t>done</t>
        </is>
      </c>
      <c r="T472" t="inlineStr">
        <is>
          <t>Done</t>
        </is>
      </c>
      <c r="Z472">
        <f>IF(OR(K119="",K119="TABLE"),"",
_xlfn.TEXTJOIN(", ",TRUE,
IF(E119&lt;&gt;"",E119&amp;K119,""),
IF(F119&lt;&gt;"",F119&amp;K119,""),
IF(G119&lt;&gt;"",G119&amp;K119,"")
))</f>
        <v/>
      </c>
      <c r="AA472">
        <f>IF(K119="","",IF(K119="TABLE","",K119))</f>
        <v/>
      </c>
      <c r="AB472">
        <f>IF(ISNUMBER(SEARCH("기존변경필요",SUBSTITUTE(TRIM(V119),CHAR(10)," "))),"",
IFERROR(
  _xlfn.XLOOKUP(AA119,'기존 end point'!B:B,'기존 end point'!B:B,,0),
""))</f>
        <v/>
      </c>
    </row>
    <row r="473">
      <c r="A473" t="n">
        <v>118</v>
      </c>
      <c r="B473" t="inlineStr">
        <is>
          <t>gen-nx</t>
        </is>
      </c>
      <c r="C473" t="inlineStr">
        <is>
          <t>Structure</t>
        </is>
      </c>
      <c r="D473" t="inlineStr">
        <is>
          <t>Group</t>
        </is>
      </c>
      <c r="E473" t="inlineStr">
        <is>
          <t>Group</t>
        </is>
      </c>
      <c r="F473" t="inlineStr">
        <is>
          <t>Loading Area Group</t>
        </is>
      </c>
      <c r="T473" t="inlineStr">
        <is>
          <t>none</t>
        </is>
      </c>
      <c r="Z473">
        <f>IF(OR(K120="",K120="TABLE"),"",
_xlfn.TEXTJOIN(", ",TRUE,
IF(E120&lt;&gt;"",E120&amp;K120,""),
IF(F120&lt;&gt;"",F120&amp;K120,""),
IF(G120&lt;&gt;"",G120&amp;K120,"")
))</f>
        <v/>
      </c>
      <c r="AA473">
        <f>IF(K120="","",IF(K120="TABLE","",K120))</f>
        <v/>
      </c>
      <c r="AB473">
        <f>IF(ISNUMBER(SEARCH("기존변경필요",SUBSTITUTE(TRIM(V120),CHAR(10)," "))),"",
IFERROR(
  _xlfn.XLOOKUP(AA120,'기존 end point'!B:B,'기존 end point'!B:B,,0),
""))</f>
        <v/>
      </c>
    </row>
    <row r="474">
      <c r="A474" t="n">
        <v>119</v>
      </c>
      <c r="B474" t="inlineStr">
        <is>
          <t>civil-nx/gen-nx</t>
        </is>
      </c>
      <c r="C474" t="inlineStr">
        <is>
          <t>Structure</t>
        </is>
      </c>
      <c r="D474" t="inlineStr">
        <is>
          <t>Group</t>
        </is>
      </c>
      <c r="E474" t="inlineStr">
        <is>
          <t>Group</t>
        </is>
      </c>
      <c r="F474" t="inlineStr">
        <is>
          <t>Tendon Group</t>
        </is>
      </c>
      <c r="H474" t="inlineStr">
        <is>
          <t>db</t>
        </is>
      </c>
      <c r="I474" t="inlineStr">
        <is>
          <t>tdgr</t>
        </is>
      </c>
      <c r="K474">
        <f>_xlfn.TEXTAFTER(L121,"/",-1)</f>
        <v/>
      </c>
      <c r="L474" t="inlineStr">
        <is>
          <t>/db/tdgr</t>
        </is>
      </c>
      <c r="M474" t="inlineStr">
        <is>
          <t>Tendon Group</t>
        </is>
      </c>
      <c r="N474" t="inlineStr">
        <is>
          <t>done</t>
        </is>
      </c>
      <c r="O474" t="inlineStr">
        <is>
          <t>done</t>
        </is>
      </c>
      <c r="P474" t="inlineStr">
        <is>
          <t>done</t>
        </is>
      </c>
      <c r="Q474" t="inlineStr">
        <is>
          <t>done</t>
        </is>
      </c>
      <c r="R474" t="inlineStr">
        <is>
          <t>done</t>
        </is>
      </c>
      <c r="S474" t="inlineStr">
        <is>
          <t>done</t>
        </is>
      </c>
      <c r="T474" t="inlineStr">
        <is>
          <t>Done</t>
        </is>
      </c>
      <c r="Z474">
        <f>IF(OR(K121="",K121="TABLE"),"",
_xlfn.TEXTJOIN(", ",TRUE,
IF(E121&lt;&gt;"",E121&amp;K121,""),
IF(F121&lt;&gt;"",F121&amp;K121,""),
IF(G121&lt;&gt;"",G121&amp;K121,"")
))</f>
        <v/>
      </c>
      <c r="AA474">
        <f>IF(K121="","",IF(K121="TABLE","",K121))</f>
        <v/>
      </c>
      <c r="AB474">
        <f>IF(ISNUMBER(SEARCH("기존변경필요",SUBSTITUTE(TRIM(V121),CHAR(10)," "))),"",
IFERROR(
  _xlfn.XLOOKUP(AA121,'기존 end point'!B:B,'기존 end point'!B:B,,0),
""))</f>
        <v/>
      </c>
    </row>
    <row r="475">
      <c r="A475" t="n">
        <v>120</v>
      </c>
      <c r="B475" t="inlineStr">
        <is>
          <t>civil-nx/gen-nx</t>
        </is>
      </c>
      <c r="C475" t="inlineStr">
        <is>
          <t>Structure</t>
        </is>
      </c>
      <c r="D475" t="inlineStr">
        <is>
          <t>Group</t>
        </is>
      </c>
      <c r="E475" t="inlineStr">
        <is>
          <t>Change</t>
        </is>
      </c>
      <c r="F475" t="inlineStr">
        <is>
          <t>Change Boundary Group</t>
        </is>
      </c>
      <c r="T475" t="inlineStr">
        <is>
          <t>none</t>
        </is>
      </c>
      <c r="Z475">
        <f>IF(OR(K122="",K122="TABLE"),"",
_xlfn.TEXTJOIN(", ",TRUE,
IF(E122&lt;&gt;"",E122&amp;K122,""),
IF(F122&lt;&gt;"",F122&amp;K122,""),
IF(G122&lt;&gt;"",G122&amp;K122,"")
))</f>
        <v/>
      </c>
      <c r="AA475">
        <f>IF(K122="","",IF(K122="TABLE","",K122))</f>
        <v/>
      </c>
      <c r="AB475">
        <f>IF(ISNUMBER(SEARCH("기존변경필요",SUBSTITUTE(TRIM(V122),CHAR(10)," "))),"",
IFERROR(
  _xlfn.XLOOKUP(AA122,'기존 end point'!B:B,'기존 end point'!B:B,,0),
""))</f>
        <v/>
      </c>
    </row>
    <row r="476">
      <c r="A476" t="n">
        <v>121</v>
      </c>
      <c r="B476" t="inlineStr">
        <is>
          <t>civil-nx/gen-nx</t>
        </is>
      </c>
      <c r="C476" t="inlineStr">
        <is>
          <t>Structure</t>
        </is>
      </c>
      <c r="D476" t="inlineStr">
        <is>
          <t>Group</t>
        </is>
      </c>
      <c r="E476" t="inlineStr">
        <is>
          <t>Change</t>
        </is>
      </c>
      <c r="F476" t="inlineStr">
        <is>
          <t>Change Load Group</t>
        </is>
      </c>
      <c r="T476" t="inlineStr">
        <is>
          <t>none</t>
        </is>
      </c>
      <c r="Z476">
        <f>IF(OR(K123="",K123="TABLE"),"",
_xlfn.TEXTJOIN(", ",TRUE,
IF(E123&lt;&gt;"",E123&amp;K123,""),
IF(F123&lt;&gt;"",F123&amp;K123,""),
IF(G123&lt;&gt;"",G123&amp;K123,"")
))</f>
        <v/>
      </c>
      <c r="AA476">
        <f>IF(K123="","",IF(K123="TABLE","",K123))</f>
        <v/>
      </c>
      <c r="AB476">
        <f>IF(ISNUMBER(SEARCH("기존변경필요",SUBSTITUTE(TRIM(V123),CHAR(10)," "))),"",
IFERROR(
  _xlfn.XLOOKUP(AA123,'기존 end point'!B:B,'기존 end point'!B:B,,0),
""))</f>
        <v/>
      </c>
    </row>
    <row r="477">
      <c r="A477" t="n">
        <v>122</v>
      </c>
      <c r="B477" t="inlineStr">
        <is>
          <t>civil-nx/gen-nx</t>
        </is>
      </c>
      <c r="C477" t="inlineStr">
        <is>
          <t>Structure</t>
        </is>
      </c>
      <c r="D477" t="inlineStr">
        <is>
          <t>Wizard</t>
        </is>
      </c>
      <c r="E477" t="inlineStr">
        <is>
          <t>Base Structures</t>
        </is>
      </c>
      <c r="F477" t="inlineStr">
        <is>
          <t>Beam</t>
        </is>
      </c>
      <c r="T477" t="inlineStr">
        <is>
          <t>none</t>
        </is>
      </c>
      <c r="Z477">
        <f>IF(OR(K124="",K124="TABLE"),"",
_xlfn.TEXTJOIN(", ",TRUE,
IF(E124&lt;&gt;"",E124&amp;K124,""),
IF(F124&lt;&gt;"",F124&amp;K124,""),
IF(G124&lt;&gt;"",G124&amp;K124,"")
))</f>
        <v/>
      </c>
      <c r="AA477">
        <f>IF(K124="","",IF(K124="TABLE","",K124))</f>
        <v/>
      </c>
      <c r="AB477">
        <f>IF(ISNUMBER(SEARCH("기존변경필요",SUBSTITUTE(TRIM(V124),CHAR(10)," "))),"",
IFERROR(
  _xlfn.XLOOKUP(AA124,'기존 end point'!B:B,'기존 end point'!B:B,,0),
""))</f>
        <v/>
      </c>
    </row>
    <row r="478">
      <c r="A478" t="n">
        <v>123</v>
      </c>
      <c r="B478" t="inlineStr">
        <is>
          <t>civil-nx/gen-nx</t>
        </is>
      </c>
      <c r="C478" t="inlineStr">
        <is>
          <t>Structure</t>
        </is>
      </c>
      <c r="D478" t="inlineStr">
        <is>
          <t>Wizard</t>
        </is>
      </c>
      <c r="E478" t="inlineStr">
        <is>
          <t>Base Structures</t>
        </is>
      </c>
      <c r="F478" t="inlineStr">
        <is>
          <t>Column</t>
        </is>
      </c>
      <c r="T478" t="inlineStr">
        <is>
          <t>none</t>
        </is>
      </c>
      <c r="Z478">
        <f>IF(OR(K125="",K125="TABLE"),"",
_xlfn.TEXTJOIN(", ",TRUE,
IF(E125&lt;&gt;"",E125&amp;K125,""),
IF(F125&lt;&gt;"",F125&amp;K125,""),
IF(G125&lt;&gt;"",G125&amp;K125,"")
))</f>
        <v/>
      </c>
      <c r="AA478">
        <f>IF(K125="","",IF(K125="TABLE","",K125))</f>
        <v/>
      </c>
      <c r="AB478">
        <f>IF(ISNUMBER(SEARCH("기존변경필요",SUBSTITUTE(TRIM(V125),CHAR(10)," "))),"",
IFERROR(
  _xlfn.XLOOKUP(AA125,'기존 end point'!B:B,'기존 end point'!B:B,,0),
""))</f>
        <v/>
      </c>
    </row>
    <row r="479">
      <c r="A479" t="n">
        <v>124</v>
      </c>
      <c r="B479" t="inlineStr">
        <is>
          <t>civil-nx/gen-nx</t>
        </is>
      </c>
      <c r="C479" t="inlineStr">
        <is>
          <t>Structure</t>
        </is>
      </c>
      <c r="D479" t="inlineStr">
        <is>
          <t>Wizard</t>
        </is>
      </c>
      <c r="E479" t="inlineStr">
        <is>
          <t>Base Structures</t>
        </is>
      </c>
      <c r="F479" t="inlineStr">
        <is>
          <t>Arch</t>
        </is>
      </c>
      <c r="T479" t="inlineStr">
        <is>
          <t>none</t>
        </is>
      </c>
      <c r="Z479">
        <f>IF(OR(K126="",K126="TABLE"),"",
_xlfn.TEXTJOIN(", ",TRUE,
IF(E126&lt;&gt;"",E126&amp;K126,""),
IF(F126&lt;&gt;"",F126&amp;K126,""),
IF(G126&lt;&gt;"",G126&amp;K126,"")
))</f>
        <v/>
      </c>
      <c r="AA479">
        <f>IF(K126="","",IF(K126="TABLE","",K126))</f>
        <v/>
      </c>
      <c r="AB479">
        <f>IF(ISNUMBER(SEARCH("기존변경필요",SUBSTITUTE(TRIM(V126),CHAR(10)," "))),"",
IFERROR(
  _xlfn.XLOOKUP(AA126,'기존 end point'!B:B,'기존 end point'!B:B,,0),
""))</f>
        <v/>
      </c>
    </row>
    <row r="480">
      <c r="A480" t="n">
        <v>125</v>
      </c>
      <c r="B480" t="inlineStr">
        <is>
          <t>civil-nx/gen-nx</t>
        </is>
      </c>
      <c r="C480" t="inlineStr">
        <is>
          <t>Structure</t>
        </is>
      </c>
      <c r="D480" t="inlineStr">
        <is>
          <t>Wizard</t>
        </is>
      </c>
      <c r="E480" t="inlineStr">
        <is>
          <t>Base Structures</t>
        </is>
      </c>
      <c r="F480" t="inlineStr">
        <is>
          <t>Frame</t>
        </is>
      </c>
      <c r="T480" t="inlineStr">
        <is>
          <t>none</t>
        </is>
      </c>
      <c r="Z480">
        <f>IF(OR(K127="",K127="TABLE"),"",
_xlfn.TEXTJOIN(", ",TRUE,
IF(E127&lt;&gt;"",E127&amp;K127,""),
IF(F127&lt;&gt;"",F127&amp;K127,""),
IF(G127&lt;&gt;"",G127&amp;K127,"")
))</f>
        <v/>
      </c>
      <c r="AA480">
        <f>IF(K127="","",IF(K127="TABLE","",K127))</f>
        <v/>
      </c>
      <c r="AB480">
        <f>IF(ISNUMBER(SEARCH("기존변경필요",SUBSTITUTE(TRIM(V127),CHAR(10)," "))),"",
IFERROR(
  _xlfn.XLOOKUP(AA127,'기존 end point'!B:B,'기존 end point'!B:B,,0),
""))</f>
        <v/>
      </c>
    </row>
    <row r="481">
      <c r="A481" t="n">
        <v>126</v>
      </c>
      <c r="B481" t="inlineStr">
        <is>
          <t>civil-nx/gen-nx</t>
        </is>
      </c>
      <c r="C481" t="inlineStr">
        <is>
          <t>Structure</t>
        </is>
      </c>
      <c r="D481" t="inlineStr">
        <is>
          <t>Wizard</t>
        </is>
      </c>
      <c r="E481" t="inlineStr">
        <is>
          <t>Base Structures</t>
        </is>
      </c>
      <c r="F481" t="inlineStr">
        <is>
          <t>Truss</t>
        </is>
      </c>
      <c r="T481" t="inlineStr">
        <is>
          <t>none</t>
        </is>
      </c>
      <c r="Z481">
        <f>IF(OR(K128="",K128="TABLE"),"",
_xlfn.TEXTJOIN(", ",TRUE,
IF(E128&lt;&gt;"",E128&amp;K128,""),
IF(F128&lt;&gt;"",F128&amp;K128,""),
IF(G128&lt;&gt;"",G128&amp;K128,"")
))</f>
        <v/>
      </c>
      <c r="AA481">
        <f>IF(K128="","",IF(K128="TABLE","",K128))</f>
        <v/>
      </c>
      <c r="AB481">
        <f>IF(ISNUMBER(SEARCH("기존변경필요",SUBSTITUTE(TRIM(V128),CHAR(10)," "))),"",
IFERROR(
  _xlfn.XLOOKUP(AA128,'기존 end point'!B:B,'기존 end point'!B:B,,0),
""))</f>
        <v/>
      </c>
    </row>
    <row r="482">
      <c r="A482" t="n">
        <v>127</v>
      </c>
      <c r="B482" t="inlineStr">
        <is>
          <t>civil-nx/gen-nx</t>
        </is>
      </c>
      <c r="C482" t="inlineStr">
        <is>
          <t>Structure</t>
        </is>
      </c>
      <c r="D482" t="inlineStr">
        <is>
          <t>Wizard</t>
        </is>
      </c>
      <c r="E482" t="inlineStr">
        <is>
          <t>Base Structures</t>
        </is>
      </c>
      <c r="F482" t="inlineStr">
        <is>
          <t>Plate</t>
        </is>
      </c>
      <c r="T482" t="inlineStr">
        <is>
          <t>none</t>
        </is>
      </c>
      <c r="Z482">
        <f>IF(OR(K129="",K129="TABLE"),"",
_xlfn.TEXTJOIN(", ",TRUE,
IF(E129&lt;&gt;"",E129&amp;K129,""),
IF(F129&lt;&gt;"",F129&amp;K129,""),
IF(G129&lt;&gt;"",G129&amp;K129,"")
))</f>
        <v/>
      </c>
      <c r="AA482">
        <f>IF(K129="","",IF(K129="TABLE","",K129))</f>
        <v/>
      </c>
      <c r="AB482">
        <f>IF(ISNUMBER(SEARCH("기존변경필요",SUBSTITUTE(TRIM(V129),CHAR(10)," "))),"",
IFERROR(
  _xlfn.XLOOKUP(AA129,'기존 end point'!B:B,'기존 end point'!B:B,,0),
""))</f>
        <v/>
      </c>
    </row>
    <row r="483">
      <c r="A483" t="n">
        <v>128</v>
      </c>
      <c r="B483" t="inlineStr">
        <is>
          <t>civil-nx/gen-nx</t>
        </is>
      </c>
      <c r="C483" t="inlineStr">
        <is>
          <t>Structure</t>
        </is>
      </c>
      <c r="D483" t="inlineStr">
        <is>
          <t>Wizard</t>
        </is>
      </c>
      <c r="E483" t="inlineStr">
        <is>
          <t>Base Structures</t>
        </is>
      </c>
      <c r="F483" t="inlineStr">
        <is>
          <t>Shell</t>
        </is>
      </c>
      <c r="T483" t="inlineStr">
        <is>
          <t>none</t>
        </is>
      </c>
      <c r="Z483">
        <f>IF(OR(K130="",K130="TABLE"),"",
_xlfn.TEXTJOIN(", ",TRUE,
IF(E130&lt;&gt;"",E130&amp;K130,""),
IF(F130&lt;&gt;"",F130&amp;K130,""),
IF(G130&lt;&gt;"",G130&amp;K130,"")
))</f>
        <v/>
      </c>
      <c r="AA483">
        <f>IF(K130="","",IF(K130="TABLE","",K130))</f>
        <v/>
      </c>
      <c r="AB483">
        <f>IF(ISNUMBER(SEARCH("기존변경필요",SUBSTITUTE(TRIM(V130),CHAR(10)," "))),"",
IFERROR(
  _xlfn.XLOOKUP(AA130,'기존 end point'!B:B,'기존 end point'!B:B,,0),
""))</f>
        <v/>
      </c>
    </row>
    <row r="484">
      <c r="A484" t="n">
        <v>129</v>
      </c>
      <c r="B484" t="inlineStr">
        <is>
          <t>gen-nx</t>
        </is>
      </c>
      <c r="C484" t="inlineStr">
        <is>
          <t>Structure</t>
        </is>
      </c>
      <c r="D484" t="inlineStr">
        <is>
          <t>Wizard</t>
        </is>
      </c>
      <c r="E484" t="inlineStr">
        <is>
          <t>Steel Villa</t>
        </is>
      </c>
      <c r="F484" t="inlineStr">
        <is>
          <t>Steel Villa Wall</t>
        </is>
      </c>
      <c r="T484" t="inlineStr">
        <is>
          <t>none</t>
        </is>
      </c>
      <c r="Z484">
        <f>IF(OR(K131="",K131="TABLE"),"",
_xlfn.TEXTJOIN(", ",TRUE,
IF(E131&lt;&gt;"",E131&amp;K131,""),
IF(F131&lt;&gt;"",F131&amp;K131,""),
IF(G131&lt;&gt;"",G131&amp;K131,"")
))</f>
        <v/>
      </c>
      <c r="AA484">
        <f>IF(K131="","",IF(K131="TABLE","",K131))</f>
        <v/>
      </c>
      <c r="AB484">
        <f>IF(ISNUMBER(SEARCH("기존변경필요",SUBSTITUTE(TRIM(V131),CHAR(10)," "))),"",
IFERROR(
  _xlfn.XLOOKUP(AA131,'기존 end point'!B:B,'기존 end point'!B:B,,0),
""))</f>
        <v/>
      </c>
    </row>
    <row r="485">
      <c r="A485" t="n">
        <v>130</v>
      </c>
      <c r="B485" t="inlineStr">
        <is>
          <t>gen-nx</t>
        </is>
      </c>
      <c r="C485" t="inlineStr">
        <is>
          <t>Structure</t>
        </is>
      </c>
      <c r="D485" t="inlineStr">
        <is>
          <t>Wizard</t>
        </is>
      </c>
      <c r="E485" t="inlineStr">
        <is>
          <t>Steel Villa</t>
        </is>
      </c>
      <c r="F485" t="inlineStr">
        <is>
          <t>Steel Villa Truss</t>
        </is>
      </c>
      <c r="T485" t="inlineStr">
        <is>
          <t>none</t>
        </is>
      </c>
      <c r="Z485">
        <f>IF(OR(K132="",K132="TABLE"),"",
_xlfn.TEXTJOIN(", ",TRUE,
IF(E132&lt;&gt;"",E132&amp;K132,""),
IF(F132&lt;&gt;"",F132&amp;K132,""),
IF(G132&lt;&gt;"",G132&amp;K132,"")
))</f>
        <v/>
      </c>
      <c r="AA485">
        <f>IF(K132="","",IF(K132="TABLE","",K132))</f>
        <v/>
      </c>
      <c r="AB485">
        <f>IF(ISNUMBER(SEARCH("기존변경필요",SUBSTITUTE(TRIM(V132),CHAR(10)," "))),"",
IFERROR(
  _xlfn.XLOOKUP(AA132,'기존 end point'!B:B,'기존 end point'!B:B,,0),
""))</f>
        <v/>
      </c>
    </row>
    <row r="486">
      <c r="A486" t="n">
        <v>131</v>
      </c>
      <c r="B486" t="inlineStr">
        <is>
          <t>gen-nx</t>
        </is>
      </c>
      <c r="C486" t="inlineStr">
        <is>
          <t>Structure</t>
        </is>
      </c>
      <c r="D486" t="inlineStr">
        <is>
          <t>Wizard</t>
        </is>
      </c>
      <c r="E486" t="inlineStr">
        <is>
          <t>Steel Villa</t>
        </is>
      </c>
      <c r="F486" t="inlineStr">
        <is>
          <t>Steel Villa Stair</t>
        </is>
      </c>
      <c r="T486" t="inlineStr">
        <is>
          <t>none</t>
        </is>
      </c>
      <c r="Z486">
        <f>IF(OR(K133="",K133="TABLE"),"",
_xlfn.TEXTJOIN(", ",TRUE,
IF(E133&lt;&gt;"",E133&amp;K133,""),
IF(F133&lt;&gt;"",F133&amp;K133,""),
IF(G133&lt;&gt;"",G133&amp;K133,"")
))</f>
        <v/>
      </c>
      <c r="AA486">
        <f>IF(K133="","",IF(K133="TABLE","",K133))</f>
        <v/>
      </c>
      <c r="AB486">
        <f>IF(ISNUMBER(SEARCH("기존변경필요",SUBSTITUTE(TRIM(V133),CHAR(10)," "))),"",
IFERROR(
  _xlfn.XLOOKUP(AA133,'기존 end point'!B:B,'기존 end point'!B:B,,0),
""))</f>
        <v/>
      </c>
    </row>
    <row r="487">
      <c r="A487" t="n">
        <v>132</v>
      </c>
      <c r="B487" t="inlineStr">
        <is>
          <t>gen-nx</t>
        </is>
      </c>
      <c r="C487" t="inlineStr">
        <is>
          <t>Structure</t>
        </is>
      </c>
      <c r="D487" t="inlineStr">
        <is>
          <t>Wizard</t>
        </is>
      </c>
      <c r="E487" t="inlineStr">
        <is>
          <t>Tower</t>
        </is>
      </c>
      <c r="F487" t="inlineStr">
        <is>
          <t>Tower Leg</t>
        </is>
      </c>
      <c r="T487" t="inlineStr">
        <is>
          <t>none</t>
        </is>
      </c>
      <c r="Z487">
        <f>IF(OR(K134="",K134="TABLE"),"",
_xlfn.TEXTJOIN(", ",TRUE,
IF(E134&lt;&gt;"",E134&amp;K134,""),
IF(F134&lt;&gt;"",F134&amp;K134,""),
IF(G134&lt;&gt;"",G134&amp;K134,"")
))</f>
        <v/>
      </c>
      <c r="AA487">
        <f>IF(K134="","",IF(K134="TABLE","",K134))</f>
        <v/>
      </c>
      <c r="AB487">
        <f>IF(ISNUMBER(SEARCH("기존변경필요",SUBSTITUTE(TRIM(V134),CHAR(10)," "))),"",
IFERROR(
  _xlfn.XLOOKUP(AA134,'기존 end point'!B:B,'기존 end point'!B:B,,0),
""))</f>
        <v/>
      </c>
    </row>
    <row r="488">
      <c r="A488" t="n">
        <v>133</v>
      </c>
      <c r="B488" t="inlineStr">
        <is>
          <t>gen-nx</t>
        </is>
      </c>
      <c r="C488" t="inlineStr">
        <is>
          <t>Structure</t>
        </is>
      </c>
      <c r="D488" t="inlineStr">
        <is>
          <t>Wizard</t>
        </is>
      </c>
      <c r="E488" t="inlineStr">
        <is>
          <t>Tower</t>
        </is>
      </c>
      <c r="F488" t="inlineStr">
        <is>
          <t>Tower Body</t>
        </is>
      </c>
      <c r="T488" t="inlineStr">
        <is>
          <t>none</t>
        </is>
      </c>
      <c r="Z488">
        <f>IF(OR(K135="",K135="TABLE"),"",
_xlfn.TEXTJOIN(", ",TRUE,
IF(E135&lt;&gt;"",E135&amp;K135,""),
IF(F135&lt;&gt;"",F135&amp;K135,""),
IF(G135&lt;&gt;"",G135&amp;K135,"")
))</f>
        <v/>
      </c>
      <c r="AA488">
        <f>IF(K135="","",IF(K135="TABLE","",K135))</f>
        <v/>
      </c>
      <c r="AB488">
        <f>IF(ISNUMBER(SEARCH("기존변경필요",SUBSTITUTE(TRIM(V135),CHAR(10)," "))),"",
IFERROR(
  _xlfn.XLOOKUP(AA135,'기존 end point'!B:B,'기존 end point'!B:B,,0),
""))</f>
        <v/>
      </c>
    </row>
    <row r="489">
      <c r="A489" t="n">
        <v>134</v>
      </c>
      <c r="B489" t="inlineStr">
        <is>
          <t>gen-nx</t>
        </is>
      </c>
      <c r="C489" t="inlineStr">
        <is>
          <t>Structure</t>
        </is>
      </c>
      <c r="D489" t="inlineStr">
        <is>
          <t>Wizard</t>
        </is>
      </c>
      <c r="E489" t="inlineStr">
        <is>
          <t>Tower</t>
        </is>
      </c>
      <c r="F489" t="inlineStr">
        <is>
          <t>Tower Arm</t>
        </is>
      </c>
      <c r="T489" t="inlineStr">
        <is>
          <t>none</t>
        </is>
      </c>
      <c r="Z489">
        <f>IF(OR(K136="",K136="TABLE"),"",
_xlfn.TEXTJOIN(", ",TRUE,
IF(E136&lt;&gt;"",E136&amp;K136,""),
IF(F136&lt;&gt;"",F136&amp;K136,""),
IF(G136&lt;&gt;"",G136&amp;K136,"")
))</f>
        <v/>
      </c>
      <c r="AA489">
        <f>IF(K136="","",IF(K136="TABLE","",K136))</f>
        <v/>
      </c>
      <c r="AB489">
        <f>IF(ISNUMBER(SEARCH("기존변경필요",SUBSTITUTE(TRIM(V136),CHAR(10)," "))),"",
IFERROR(
  _xlfn.XLOOKUP(AA136,'기존 end point'!B:B,'기존 end point'!B:B,,0),
""))</f>
        <v/>
      </c>
    </row>
    <row r="490">
      <c r="A490" t="n">
        <v>135</v>
      </c>
      <c r="B490" t="inlineStr">
        <is>
          <t>gen-nx</t>
        </is>
      </c>
      <c r="C490" t="inlineStr">
        <is>
          <t>Structure</t>
        </is>
      </c>
      <c r="D490" t="inlineStr">
        <is>
          <t>Wizard</t>
        </is>
      </c>
      <c r="E490" t="inlineStr">
        <is>
          <t>Window Frame</t>
        </is>
      </c>
      <c r="T490" t="inlineStr">
        <is>
          <t>none</t>
        </is>
      </c>
      <c r="Z490">
        <f>IF(OR(K137="",K137="TABLE"),"",
_xlfn.TEXTJOIN(", ",TRUE,
IF(E137&lt;&gt;"",E137&amp;K137,""),
IF(F137&lt;&gt;"",F137&amp;K137,""),
IF(G137&lt;&gt;"",G137&amp;K137,"")
))</f>
        <v/>
      </c>
      <c r="AA490">
        <f>IF(K137="","",IF(K137="TABLE","",K137))</f>
        <v/>
      </c>
      <c r="AB490">
        <f>IF(ISNUMBER(SEARCH("기존변경필요",SUBSTITUTE(TRIM(V137),CHAR(10)," "))),"",
IFERROR(
  _xlfn.XLOOKUP(AA137,'기존 end point'!B:B,'기존 end point'!B:B,,0),
""))</f>
        <v/>
      </c>
    </row>
    <row r="491">
      <c r="A491" t="n">
        <v>136</v>
      </c>
      <c r="B491" t="inlineStr">
        <is>
          <t>gen-nx</t>
        </is>
      </c>
      <c r="C491" t="inlineStr">
        <is>
          <t>Structure</t>
        </is>
      </c>
      <c r="D491" t="inlineStr">
        <is>
          <t>Wizard</t>
        </is>
      </c>
      <c r="E491" t="inlineStr">
        <is>
          <t>Pipe Support</t>
        </is>
      </c>
      <c r="T491" t="inlineStr">
        <is>
          <t>none</t>
        </is>
      </c>
      <c r="Z491">
        <f>IF(OR(K138="",K138="TABLE"),"",
_xlfn.TEXTJOIN(", ",TRUE,
IF(E138&lt;&gt;"",E138&amp;K138,""),
IF(F138&lt;&gt;"",F138&amp;K138,""),
IF(G138&lt;&gt;"",G138&amp;K138,"")
))</f>
        <v/>
      </c>
      <c r="AA491">
        <f>IF(K138="","",IF(K138="TABLE","",K138))</f>
        <v/>
      </c>
      <c r="AB491">
        <f>IF(ISNUMBER(SEARCH("기존변경필요",SUBSTITUTE(TRIM(V138),CHAR(10)," "))),"",
IFERROR(
  _xlfn.XLOOKUP(AA138,'기존 end point'!B:B,'기존 end point'!B:B,,0),
""))</f>
        <v/>
      </c>
    </row>
    <row r="492">
      <c r="A492" t="n">
        <v>137</v>
      </c>
      <c r="B492" t="inlineStr">
        <is>
          <t>civil-nx/gen-nx</t>
        </is>
      </c>
      <c r="C492" t="inlineStr">
        <is>
          <t>Node/Element</t>
        </is>
      </c>
      <c r="D492" t="inlineStr">
        <is>
          <t>General</t>
        </is>
      </c>
      <c r="E492" t="inlineStr">
        <is>
          <t>Create</t>
        </is>
      </c>
      <c r="F492" t="inlineStr">
        <is>
          <t>Create Node</t>
        </is>
      </c>
      <c r="H492" t="inlineStr">
        <is>
          <t>db</t>
        </is>
      </c>
      <c r="I492" t="inlineStr">
        <is>
          <t>node</t>
        </is>
      </c>
      <c r="K492">
        <f>_xlfn.TEXTAFTER(L139,"/",-1)</f>
        <v/>
      </c>
      <c r="L492" t="inlineStr">
        <is>
          <t>/db/node</t>
        </is>
      </c>
      <c r="M492" t="inlineStr">
        <is>
          <t>Node</t>
        </is>
      </c>
      <c r="N492" t="inlineStr">
        <is>
          <t>done</t>
        </is>
      </c>
      <c r="O492" t="inlineStr">
        <is>
          <t>done</t>
        </is>
      </c>
      <c r="P492" t="inlineStr">
        <is>
          <t>done</t>
        </is>
      </c>
      <c r="Q492" t="inlineStr">
        <is>
          <t>done</t>
        </is>
      </c>
      <c r="R492" t="inlineStr">
        <is>
          <t>done</t>
        </is>
      </c>
      <c r="S492" t="inlineStr">
        <is>
          <t>done</t>
        </is>
      </c>
      <c r="T492" t="inlineStr">
        <is>
          <t>Done</t>
        </is>
      </c>
      <c r="Z492">
        <f>IF(OR(K139="",K139="TABLE"),"",
_xlfn.TEXTJOIN(", ",TRUE,
IF(E139&lt;&gt;"",E139&amp;K139,""),
IF(F139&lt;&gt;"",F139&amp;K139,""),
IF(G139&lt;&gt;"",G139&amp;K139,"")
))</f>
        <v/>
      </c>
      <c r="AA492">
        <f>IF(K139="","",IF(K139="TABLE","",K139))</f>
        <v/>
      </c>
      <c r="AB492">
        <f>IF(ISNUMBER(SEARCH("기존변경필요",SUBSTITUTE(TRIM(V139),CHAR(10)," "))),"",
IFERROR(
  _xlfn.XLOOKUP(AA139,'기존 end point'!B:B,'기존 end point'!B:B,,0),
""))</f>
        <v/>
      </c>
    </row>
    <row r="493">
      <c r="A493" t="n">
        <v>138</v>
      </c>
      <c r="B493" t="inlineStr">
        <is>
          <t>civil-nx/gen-nx</t>
        </is>
      </c>
      <c r="C493" t="inlineStr">
        <is>
          <t>Node/Element</t>
        </is>
      </c>
      <c r="D493" t="inlineStr">
        <is>
          <t>General</t>
        </is>
      </c>
      <c r="E493" t="inlineStr">
        <is>
          <t>Create</t>
        </is>
      </c>
      <c r="F493" t="inlineStr">
        <is>
          <t>Create Element</t>
        </is>
      </c>
      <c r="H493" t="inlineStr">
        <is>
          <t>db</t>
        </is>
      </c>
      <c r="I493" t="inlineStr">
        <is>
          <t>elem</t>
        </is>
      </c>
      <c r="K493">
        <f>_xlfn.TEXTAFTER(L140,"/",-1)</f>
        <v/>
      </c>
      <c r="L493" t="inlineStr">
        <is>
          <t>/db/elem</t>
        </is>
      </c>
      <c r="M493" t="inlineStr">
        <is>
          <t>Element</t>
        </is>
      </c>
      <c r="N493" t="inlineStr">
        <is>
          <t>done</t>
        </is>
      </c>
      <c r="O493" t="inlineStr">
        <is>
          <t>done</t>
        </is>
      </c>
      <c r="P493" t="inlineStr">
        <is>
          <t>done</t>
        </is>
      </c>
      <c r="Q493" t="inlineStr">
        <is>
          <t>done</t>
        </is>
      </c>
      <c r="R493" t="inlineStr">
        <is>
          <t>done</t>
        </is>
      </c>
      <c r="S493" t="inlineStr">
        <is>
          <t>done</t>
        </is>
      </c>
      <c r="T493" t="inlineStr">
        <is>
          <t>Done</t>
        </is>
      </c>
      <c r="Z493">
        <f>IF(OR(K140="",K140="TABLE"),"",
_xlfn.TEXTJOIN(", ",TRUE,
IF(E140&lt;&gt;"",E140&amp;K140,""),
IF(F140&lt;&gt;"",F140&amp;K140,""),
IF(G140&lt;&gt;"",G140&amp;K140,"")
))</f>
        <v/>
      </c>
      <c r="AA493">
        <f>IF(K140="","",IF(K140="TABLE","",K140))</f>
        <v/>
      </c>
      <c r="AB493">
        <f>IF(ISNUMBER(SEARCH("기존변경필요",SUBSTITUTE(TRIM(V140),CHAR(10)," "))),"",
IFERROR(
  _xlfn.XLOOKUP(AA140,'기존 end point'!B:B,'기존 end point'!B:B,,0),
""))</f>
        <v/>
      </c>
    </row>
    <row r="494">
      <c r="A494" t="n">
        <v>139</v>
      </c>
      <c r="B494" t="inlineStr">
        <is>
          <t>civil-nx/gen-nx</t>
        </is>
      </c>
      <c r="C494" t="inlineStr">
        <is>
          <t>Node/Element</t>
        </is>
      </c>
      <c r="D494" t="inlineStr">
        <is>
          <t>General</t>
        </is>
      </c>
      <c r="E494" t="inlineStr">
        <is>
          <t>Create</t>
        </is>
      </c>
      <c r="F494" t="inlineStr">
        <is>
          <t>Create Element with Tracing</t>
        </is>
      </c>
      <c r="T494" t="inlineStr">
        <is>
          <t>none</t>
        </is>
      </c>
      <c r="Z494">
        <f>IF(OR(K141="",K141="TABLE"),"",
_xlfn.TEXTJOIN(", ",TRUE,
IF(E141&lt;&gt;"",E141&amp;K141,""),
IF(F141&lt;&gt;"",F141&amp;K141,""),
IF(G141&lt;&gt;"",G141&amp;K141,"")
))</f>
        <v/>
      </c>
      <c r="AA494">
        <f>IF(K141="","",IF(K141="TABLE","",K141))</f>
        <v/>
      </c>
      <c r="AB494">
        <f>IF(ISNUMBER(SEARCH("기존변경필요",SUBSTITUTE(TRIM(V141),CHAR(10)," "))),"",
IFERROR(
  _xlfn.XLOOKUP(AA141,'기존 end point'!B:B,'기존 end point'!B:B,,0),
""))</f>
        <v/>
      </c>
    </row>
    <row r="495">
      <c r="A495" t="n">
        <v>140</v>
      </c>
      <c r="B495" t="inlineStr">
        <is>
          <t>civil-nx/gen-nx</t>
        </is>
      </c>
      <c r="C495" t="inlineStr">
        <is>
          <t>Node/Element</t>
        </is>
      </c>
      <c r="D495" t="inlineStr">
        <is>
          <t>General</t>
        </is>
      </c>
      <c r="E495" t="inlineStr">
        <is>
          <t>Translate</t>
        </is>
      </c>
      <c r="F495" t="inlineStr">
        <is>
          <t>Translate Node</t>
        </is>
      </c>
      <c r="T495" t="inlineStr">
        <is>
          <t>none</t>
        </is>
      </c>
      <c r="Z495">
        <f>IF(OR(K142="",K142="TABLE"),"",
_xlfn.TEXTJOIN(", ",TRUE,
IF(E142&lt;&gt;"",E142&amp;K142,""),
IF(F142&lt;&gt;"",F142&amp;K142,""),
IF(G142&lt;&gt;"",G142&amp;K142,"")
))</f>
        <v/>
      </c>
      <c r="AA495">
        <f>IF(K142="","",IF(K142="TABLE","",K142))</f>
        <v/>
      </c>
      <c r="AB495">
        <f>IF(ISNUMBER(SEARCH("기존변경필요",SUBSTITUTE(TRIM(V142),CHAR(10)," "))),"",
IFERROR(
  _xlfn.XLOOKUP(AA142,'기존 end point'!B:B,'기존 end point'!B:B,,0),
""))</f>
        <v/>
      </c>
    </row>
    <row r="496">
      <c r="A496" t="n">
        <v>141</v>
      </c>
      <c r="B496" t="inlineStr">
        <is>
          <t>civil-nx/gen-nx</t>
        </is>
      </c>
      <c r="C496" t="inlineStr">
        <is>
          <t>Node/Element</t>
        </is>
      </c>
      <c r="D496" t="inlineStr">
        <is>
          <t>General</t>
        </is>
      </c>
      <c r="E496" t="inlineStr">
        <is>
          <t>Translate</t>
        </is>
      </c>
      <c r="F496" t="inlineStr">
        <is>
          <t>Translate Element</t>
        </is>
      </c>
      <c r="T496" t="inlineStr">
        <is>
          <t>none</t>
        </is>
      </c>
      <c r="Z496">
        <f>IF(OR(K143="",K143="TABLE"),"",
_xlfn.TEXTJOIN(", ",TRUE,
IF(E143&lt;&gt;"",E143&amp;K143,""),
IF(F143&lt;&gt;"",F143&amp;K143,""),
IF(G143&lt;&gt;"",G143&amp;K143,"")
))</f>
        <v/>
      </c>
      <c r="AA496">
        <f>IF(K143="","",IF(K143="TABLE","",K143))</f>
        <v/>
      </c>
      <c r="AB496">
        <f>IF(ISNUMBER(SEARCH("기존변경필요",SUBSTITUTE(TRIM(V143),CHAR(10)," "))),"",
IFERROR(
  _xlfn.XLOOKUP(AA143,'기존 end point'!B:B,'기존 end point'!B:B,,0),
""))</f>
        <v/>
      </c>
    </row>
    <row r="497">
      <c r="A497" t="n">
        <v>142</v>
      </c>
      <c r="B497" t="inlineStr">
        <is>
          <t>civil-nx/gen-nx</t>
        </is>
      </c>
      <c r="C497" t="inlineStr">
        <is>
          <t>Node/Element</t>
        </is>
      </c>
      <c r="D497" t="inlineStr">
        <is>
          <t>General</t>
        </is>
      </c>
      <c r="E497" t="inlineStr">
        <is>
          <t>Divide</t>
        </is>
      </c>
      <c r="F497" t="inlineStr">
        <is>
          <t>Divide Node</t>
        </is>
      </c>
      <c r="T497" t="inlineStr">
        <is>
          <t>none</t>
        </is>
      </c>
      <c r="Z497">
        <f>IF(OR(K144="",K144="TABLE"),"",
_xlfn.TEXTJOIN(", ",TRUE,
IF(E144&lt;&gt;"",E144&amp;K144,""),
IF(F144&lt;&gt;"",F144&amp;K144,""),
IF(G144&lt;&gt;"",G144&amp;K144,"")
))</f>
        <v/>
      </c>
      <c r="AA497">
        <f>IF(K144="","",IF(K144="TABLE","",K144))</f>
        <v/>
      </c>
      <c r="AB497">
        <f>IF(ISNUMBER(SEARCH("기존변경필요",SUBSTITUTE(TRIM(V144),CHAR(10)," "))),"",
IFERROR(
  _xlfn.XLOOKUP(AA144,'기존 end point'!B:B,'기존 end point'!B:B,,0),
""))</f>
        <v/>
      </c>
    </row>
    <row r="498">
      <c r="A498" t="n">
        <v>143</v>
      </c>
      <c r="B498" t="inlineStr">
        <is>
          <t>civil-nx/gen-nx</t>
        </is>
      </c>
      <c r="C498" t="inlineStr">
        <is>
          <t>Node/Element</t>
        </is>
      </c>
      <c r="D498" t="inlineStr">
        <is>
          <t>General</t>
        </is>
      </c>
      <c r="E498" t="inlineStr">
        <is>
          <t>Divide</t>
        </is>
      </c>
      <c r="F498" t="inlineStr">
        <is>
          <t>Divide Element</t>
        </is>
      </c>
      <c r="T498" t="inlineStr">
        <is>
          <t>none</t>
        </is>
      </c>
      <c r="Z498">
        <f>IF(OR(K145="",K145="TABLE"),"",
_xlfn.TEXTJOIN(", ",TRUE,
IF(E145&lt;&gt;"",E145&amp;K145,""),
IF(F145&lt;&gt;"",F145&amp;K145,""),
IF(G145&lt;&gt;"",G145&amp;K145,"")
))</f>
        <v/>
      </c>
      <c r="AA498">
        <f>IF(K145="","",IF(K145="TABLE","",K145))</f>
        <v/>
      </c>
      <c r="AB498">
        <f>IF(ISNUMBER(SEARCH("기존변경필요",SUBSTITUTE(TRIM(V145),CHAR(10)," "))),"",
IFERROR(
  _xlfn.XLOOKUP(AA145,'기존 end point'!B:B,'기존 end point'!B:B,,0),
""))</f>
        <v/>
      </c>
    </row>
    <row r="499">
      <c r="A499" t="n">
        <v>144</v>
      </c>
      <c r="B499" t="inlineStr">
        <is>
          <t>civil-nx/gen-nx</t>
        </is>
      </c>
      <c r="C499" t="inlineStr">
        <is>
          <t>Node/Element</t>
        </is>
      </c>
      <c r="D499" t="inlineStr">
        <is>
          <t>General</t>
        </is>
      </c>
      <c r="E499" t="inlineStr">
        <is>
          <t>Merge</t>
        </is>
      </c>
      <c r="F499" t="inlineStr">
        <is>
          <t>Merge Node</t>
        </is>
      </c>
      <c r="T499" t="inlineStr">
        <is>
          <t>none</t>
        </is>
      </c>
      <c r="Z499">
        <f>IF(OR(K146="",K146="TABLE"),"",
_xlfn.TEXTJOIN(", ",TRUE,
IF(E146&lt;&gt;"",E146&amp;K146,""),
IF(F146&lt;&gt;"",F146&amp;K146,""),
IF(G146&lt;&gt;"",G146&amp;K146,"")
))</f>
        <v/>
      </c>
      <c r="AA499">
        <f>IF(K146="","",IF(K146="TABLE","",K146))</f>
        <v/>
      </c>
      <c r="AB499">
        <f>IF(ISNUMBER(SEARCH("기존변경필요",SUBSTITUTE(TRIM(V146),CHAR(10)," "))),"",
IFERROR(
  _xlfn.XLOOKUP(AA146,'기존 end point'!B:B,'기존 end point'!B:B,,0),
""))</f>
        <v/>
      </c>
    </row>
    <row r="500">
      <c r="A500" t="n">
        <v>145</v>
      </c>
      <c r="B500" t="inlineStr">
        <is>
          <t>civil-nx/gen-nx</t>
        </is>
      </c>
      <c r="C500" t="inlineStr">
        <is>
          <t>Node/Element</t>
        </is>
      </c>
      <c r="D500" t="inlineStr">
        <is>
          <t>General</t>
        </is>
      </c>
      <c r="E500" t="inlineStr">
        <is>
          <t>Merge</t>
        </is>
      </c>
      <c r="F500" t="inlineStr">
        <is>
          <t>Merge Element</t>
        </is>
      </c>
      <c r="T500" t="inlineStr">
        <is>
          <t>none</t>
        </is>
      </c>
      <c r="Z500">
        <f>IF(OR(K147="",K147="TABLE"),"",
_xlfn.TEXTJOIN(", ",TRUE,
IF(E147&lt;&gt;"",E147&amp;K147,""),
IF(F147&lt;&gt;"",F147&amp;K147,""),
IF(G147&lt;&gt;"",G147&amp;K147,"")
))</f>
        <v/>
      </c>
      <c r="AA500">
        <f>IF(K147="","",IF(K147="TABLE","",K147))</f>
        <v/>
      </c>
      <c r="AB500">
        <f>IF(ISNUMBER(SEARCH("기존변경필요",SUBSTITUTE(TRIM(V147),CHAR(10)," "))),"",
IFERROR(
  _xlfn.XLOOKUP(AA147,'기존 end point'!B:B,'기존 end point'!B:B,,0),
""))</f>
        <v/>
      </c>
    </row>
    <row r="501">
      <c r="A501" t="n">
        <v>146</v>
      </c>
      <c r="B501" t="inlineStr">
        <is>
          <t>civil-nx/gen-nx</t>
        </is>
      </c>
      <c r="C501" t="inlineStr">
        <is>
          <t>Node/Element</t>
        </is>
      </c>
      <c r="D501" t="inlineStr">
        <is>
          <t>General</t>
        </is>
      </c>
      <c r="E501" t="inlineStr">
        <is>
          <t>Delete</t>
        </is>
      </c>
      <c r="F501" t="inlineStr">
        <is>
          <t>Delete Node</t>
        </is>
      </c>
      <c r="T501" t="inlineStr">
        <is>
          <t>none</t>
        </is>
      </c>
      <c r="Z501">
        <f>IF(OR(K148="",K148="TABLE"),"",
_xlfn.TEXTJOIN(", ",TRUE,
IF(E148&lt;&gt;"",E148&amp;K148,""),
IF(F148&lt;&gt;"",F148&amp;K148,""),
IF(G148&lt;&gt;"",G148&amp;K148,"")
))</f>
        <v/>
      </c>
      <c r="AA501">
        <f>IF(K148="","",IF(K148="TABLE","",K148))</f>
        <v/>
      </c>
      <c r="AB501">
        <f>IF(ISNUMBER(SEARCH("기존변경필요",SUBSTITUTE(TRIM(V148),CHAR(10)," "))),"",
IFERROR(
  _xlfn.XLOOKUP(AA148,'기존 end point'!B:B,'기존 end point'!B:B,,0),
""))</f>
        <v/>
      </c>
    </row>
    <row r="502">
      <c r="A502" t="n">
        <v>147</v>
      </c>
      <c r="B502" t="inlineStr">
        <is>
          <t>civil-nx/gen-nx</t>
        </is>
      </c>
      <c r="C502" t="inlineStr">
        <is>
          <t>Node/Element</t>
        </is>
      </c>
      <c r="D502" t="inlineStr">
        <is>
          <t>General</t>
        </is>
      </c>
      <c r="E502" t="inlineStr">
        <is>
          <t>Delete</t>
        </is>
      </c>
      <c r="F502" t="inlineStr">
        <is>
          <t>Delete Element</t>
        </is>
      </c>
      <c r="T502" t="inlineStr">
        <is>
          <t>none</t>
        </is>
      </c>
      <c r="Z502">
        <f>IF(OR(K149="",K149="TABLE"),"",
_xlfn.TEXTJOIN(", ",TRUE,
IF(E149&lt;&gt;"",E149&amp;K149,""),
IF(F149&lt;&gt;"",F149&amp;K149,""),
IF(G149&lt;&gt;"",G149&amp;K149,"")
))</f>
        <v/>
      </c>
      <c r="AA502">
        <f>IF(K149="","",IF(K149="TABLE","",K149))</f>
        <v/>
      </c>
      <c r="AB502">
        <f>IF(ISNUMBER(SEARCH("기존변경필요",SUBSTITUTE(TRIM(V149),CHAR(10)," "))),"",
IFERROR(
  _xlfn.XLOOKUP(AA149,'기존 end point'!B:B,'기존 end point'!B:B,,0),
""))</f>
        <v/>
      </c>
    </row>
    <row r="503">
      <c r="A503" t="n">
        <v>148</v>
      </c>
      <c r="B503" t="inlineStr">
        <is>
          <t>civil-nx/gen-nx</t>
        </is>
      </c>
      <c r="C503" t="inlineStr">
        <is>
          <t>Node/Element</t>
        </is>
      </c>
      <c r="D503" t="inlineStr">
        <is>
          <t>General</t>
        </is>
      </c>
      <c r="E503" t="inlineStr">
        <is>
          <t>Rotate</t>
        </is>
      </c>
      <c r="F503" t="inlineStr">
        <is>
          <t>Rotate Node</t>
        </is>
      </c>
      <c r="T503" t="inlineStr">
        <is>
          <t>none</t>
        </is>
      </c>
      <c r="Z503">
        <f>IF(OR(K150="",K150="TABLE"),"",
_xlfn.TEXTJOIN(", ",TRUE,
IF(E150&lt;&gt;"",E150&amp;K150,""),
IF(F150&lt;&gt;"",F150&amp;K150,""),
IF(G150&lt;&gt;"",G150&amp;K150,"")
))</f>
        <v/>
      </c>
      <c r="AA503">
        <f>IF(K150="","",IF(K150="TABLE","",K150))</f>
        <v/>
      </c>
      <c r="AB503">
        <f>IF(ISNUMBER(SEARCH("기존변경필요",SUBSTITUTE(TRIM(V150),CHAR(10)," "))),"",
IFERROR(
  _xlfn.XLOOKUP(AA150,'기존 end point'!B:B,'기존 end point'!B:B,,0),
""))</f>
        <v/>
      </c>
    </row>
    <row r="504">
      <c r="A504" t="n">
        <v>149</v>
      </c>
      <c r="B504" t="inlineStr">
        <is>
          <t>civil-nx/gen-nx</t>
        </is>
      </c>
      <c r="C504" t="inlineStr">
        <is>
          <t>Node/Element</t>
        </is>
      </c>
      <c r="D504" t="inlineStr">
        <is>
          <t>General</t>
        </is>
      </c>
      <c r="E504" t="inlineStr">
        <is>
          <t>Rotate</t>
        </is>
      </c>
      <c r="F504" t="inlineStr">
        <is>
          <t>Rotate Element</t>
        </is>
      </c>
      <c r="T504" t="inlineStr">
        <is>
          <t>none</t>
        </is>
      </c>
      <c r="Z504">
        <f>IF(OR(K151="",K151="TABLE"),"",
_xlfn.TEXTJOIN(", ",TRUE,
IF(E151&lt;&gt;"",E151&amp;K151,""),
IF(F151&lt;&gt;"",F151&amp;K151,""),
IF(G151&lt;&gt;"",G151&amp;K151,"")
))</f>
        <v/>
      </c>
      <c r="AA504">
        <f>IF(K151="","",IF(K151="TABLE","",K151))</f>
        <v/>
      </c>
      <c r="AB504">
        <f>IF(ISNUMBER(SEARCH("기존변경필요",SUBSTITUTE(TRIM(V151),CHAR(10)," "))),"",
IFERROR(
  _xlfn.XLOOKUP(AA151,'기존 end point'!B:B,'기존 end point'!B:B,,0),
""))</f>
        <v/>
      </c>
    </row>
    <row r="505">
      <c r="A505" t="n">
        <v>150</v>
      </c>
      <c r="B505" t="inlineStr">
        <is>
          <t>civil-nx/gen-nx</t>
        </is>
      </c>
      <c r="C505" t="inlineStr">
        <is>
          <t>Node/Element</t>
        </is>
      </c>
      <c r="D505" t="inlineStr">
        <is>
          <t>General</t>
        </is>
      </c>
      <c r="E505" t="inlineStr">
        <is>
          <t>Mirror</t>
        </is>
      </c>
      <c r="F505" t="inlineStr">
        <is>
          <t>Mirror Node</t>
        </is>
      </c>
      <c r="T505" t="inlineStr">
        <is>
          <t>none</t>
        </is>
      </c>
      <c r="Z505">
        <f>IF(OR(K152="",K152="TABLE"),"",
_xlfn.TEXTJOIN(", ",TRUE,
IF(E152&lt;&gt;"",E152&amp;K152,""),
IF(F152&lt;&gt;"",F152&amp;K152,""),
IF(G152&lt;&gt;"",G152&amp;K152,"")
))</f>
        <v/>
      </c>
      <c r="AA505">
        <f>IF(K152="","",IF(K152="TABLE","",K152))</f>
        <v/>
      </c>
      <c r="AB505">
        <f>IF(ISNUMBER(SEARCH("기존변경필요",SUBSTITUTE(TRIM(V152),CHAR(10)," "))),"",
IFERROR(
  _xlfn.XLOOKUP(AA152,'기존 end point'!B:B,'기존 end point'!B:B,,0),
""))</f>
        <v/>
      </c>
    </row>
    <row r="506">
      <c r="A506" t="n">
        <v>151</v>
      </c>
      <c r="B506" t="inlineStr">
        <is>
          <t>civil-nx/gen-nx</t>
        </is>
      </c>
      <c r="C506" t="inlineStr">
        <is>
          <t>Node/Element</t>
        </is>
      </c>
      <c r="D506" t="inlineStr">
        <is>
          <t>General</t>
        </is>
      </c>
      <c r="E506" t="inlineStr">
        <is>
          <t>Mirror</t>
        </is>
      </c>
      <c r="F506" t="inlineStr">
        <is>
          <t>Mirror Element</t>
        </is>
      </c>
      <c r="T506" t="inlineStr">
        <is>
          <t>none</t>
        </is>
      </c>
      <c r="Z506">
        <f>IF(OR(K153="",K153="TABLE"),"",
_xlfn.TEXTJOIN(", ",TRUE,
IF(E153&lt;&gt;"",E153&amp;K153,""),
IF(F153&lt;&gt;"",F153&amp;K153,""),
IF(G153&lt;&gt;"",G153&amp;K153,"")
))</f>
        <v/>
      </c>
      <c r="AA506">
        <f>IF(K153="","",IF(K153="TABLE","",K153))</f>
        <v/>
      </c>
      <c r="AB506">
        <f>IF(ISNUMBER(SEARCH("기존변경필요",SUBSTITUTE(TRIM(V153),CHAR(10)," "))),"",
IFERROR(
  _xlfn.XLOOKUP(AA153,'기존 end point'!B:B,'기존 end point'!B:B,,0),
""))</f>
        <v/>
      </c>
    </row>
    <row r="507">
      <c r="A507" t="n">
        <v>152</v>
      </c>
      <c r="B507" t="inlineStr">
        <is>
          <t>civil-nx/gen-nx</t>
        </is>
      </c>
      <c r="C507" t="inlineStr">
        <is>
          <t>Node/Element</t>
        </is>
      </c>
      <c r="D507" t="inlineStr">
        <is>
          <t>Numbers</t>
        </is>
      </c>
      <c r="E507" t="inlineStr">
        <is>
          <t>Numbering</t>
        </is>
      </c>
      <c r="F507" t="inlineStr">
        <is>
          <t>Node Numbering</t>
        </is>
      </c>
      <c r="T507" t="inlineStr">
        <is>
          <t>none</t>
        </is>
      </c>
      <c r="Z507">
        <f>IF(OR(K154="",K154="TABLE"),"",
_xlfn.TEXTJOIN(", ",TRUE,
IF(E154&lt;&gt;"",E154&amp;K154,""),
IF(F154&lt;&gt;"",F154&amp;K154,""),
IF(G154&lt;&gt;"",G154&amp;K154,"")
))</f>
        <v/>
      </c>
      <c r="AA507">
        <f>IF(K154="","",IF(K154="TABLE","",K154))</f>
        <v/>
      </c>
      <c r="AB507">
        <f>IF(ISNUMBER(SEARCH("기존변경필요",SUBSTITUTE(TRIM(V154),CHAR(10)," "))),"",
IFERROR(
  _xlfn.XLOOKUP(AA154,'기존 end point'!B:B,'기존 end point'!B:B,,0),
""))</f>
        <v/>
      </c>
    </row>
    <row r="508">
      <c r="A508" t="n">
        <v>153</v>
      </c>
      <c r="B508" t="inlineStr">
        <is>
          <t>civil-nx/gen-nx</t>
        </is>
      </c>
      <c r="C508" t="inlineStr">
        <is>
          <t>Node/Element</t>
        </is>
      </c>
      <c r="D508" t="inlineStr">
        <is>
          <t>Numbers</t>
        </is>
      </c>
      <c r="E508" t="inlineStr">
        <is>
          <t>Numbering</t>
        </is>
      </c>
      <c r="F508" t="inlineStr">
        <is>
          <t>Element Numbering</t>
        </is>
      </c>
      <c r="T508" t="inlineStr">
        <is>
          <t>none</t>
        </is>
      </c>
      <c r="Z508">
        <f>IF(OR(K155="",K155="TABLE"),"",
_xlfn.TEXTJOIN(", ",TRUE,
IF(E155&lt;&gt;"",E155&amp;K155,""),
IF(F155&lt;&gt;"",F155&amp;K155,""),
IF(G155&lt;&gt;"",G155&amp;K155,"")
))</f>
        <v/>
      </c>
      <c r="AA508">
        <f>IF(K155="","",IF(K155="TABLE","",K155))</f>
        <v/>
      </c>
      <c r="AB508">
        <f>IF(ISNUMBER(SEARCH("기존변경필요",SUBSTITUTE(TRIM(V155),CHAR(10)," "))),"",
IFERROR(
  _xlfn.XLOOKUP(AA155,'기존 end point'!B:B,'기존 end point'!B:B,,0),
""))</f>
        <v/>
      </c>
    </row>
    <row r="509">
      <c r="A509" t="n">
        <v>154</v>
      </c>
      <c r="B509" t="inlineStr">
        <is>
          <t>civil-nx/gen-nx</t>
        </is>
      </c>
      <c r="C509" t="inlineStr">
        <is>
          <t>Node/Element</t>
        </is>
      </c>
      <c r="D509" t="inlineStr">
        <is>
          <t>Numbers</t>
        </is>
      </c>
      <c r="E509" t="inlineStr">
        <is>
          <t>Renumbering</t>
        </is>
      </c>
      <c r="F509" t="inlineStr">
        <is>
          <t>Renumbering Node</t>
        </is>
      </c>
      <c r="T509" t="inlineStr">
        <is>
          <t>none</t>
        </is>
      </c>
      <c r="Z509">
        <f>IF(OR(K156="",K156="TABLE"),"",
_xlfn.TEXTJOIN(", ",TRUE,
IF(E156&lt;&gt;"",E156&amp;K156,""),
IF(F156&lt;&gt;"",F156&amp;K156,""),
IF(G156&lt;&gt;"",G156&amp;K156,"")
))</f>
        <v/>
      </c>
      <c r="AA509">
        <f>IF(K156="","",IF(K156="TABLE","",K156))</f>
        <v/>
      </c>
      <c r="AB509">
        <f>IF(ISNUMBER(SEARCH("기존변경필요",SUBSTITUTE(TRIM(V156),CHAR(10)," "))),"",
IFERROR(
  _xlfn.XLOOKUP(AA156,'기존 end point'!B:B,'기존 end point'!B:B,,0),
""))</f>
        <v/>
      </c>
    </row>
    <row r="510">
      <c r="A510" t="n">
        <v>155</v>
      </c>
      <c r="B510" t="inlineStr">
        <is>
          <t>civil-nx/gen-nx</t>
        </is>
      </c>
      <c r="C510" t="inlineStr">
        <is>
          <t>Node/Element</t>
        </is>
      </c>
      <c r="D510" t="inlineStr">
        <is>
          <t>Numbers</t>
        </is>
      </c>
      <c r="E510" t="inlineStr">
        <is>
          <t>Renumbering</t>
        </is>
      </c>
      <c r="F510" t="inlineStr">
        <is>
          <t>Renumbering Element</t>
        </is>
      </c>
      <c r="T510" t="inlineStr">
        <is>
          <t>none</t>
        </is>
      </c>
      <c r="Z510">
        <f>IF(OR(K157="",K157="TABLE"),"",
_xlfn.TEXTJOIN(", ",TRUE,
IF(E157&lt;&gt;"",E157&amp;K157,""),
IF(F157&lt;&gt;"",F157&amp;K157,""),
IF(G157&lt;&gt;"",G157&amp;K157,"")
))</f>
        <v/>
      </c>
      <c r="AA510">
        <f>IF(K157="","",IF(K157="TABLE","",K157))</f>
        <v/>
      </c>
      <c r="AB510">
        <f>IF(ISNUMBER(SEARCH("기존변경필요",SUBSTITUTE(TRIM(V157),CHAR(10)," "))),"",
IFERROR(
  _xlfn.XLOOKUP(AA157,'기존 end point'!B:B,'기존 end point'!B:B,,0),
""))</f>
        <v/>
      </c>
    </row>
    <row r="511">
      <c r="A511" t="n">
        <v>156</v>
      </c>
      <c r="B511" t="inlineStr">
        <is>
          <t>civil-nx/gen-nx</t>
        </is>
      </c>
      <c r="C511" t="inlineStr">
        <is>
          <t>Node/Element</t>
        </is>
      </c>
      <c r="D511" t="inlineStr">
        <is>
          <t>Numbers</t>
        </is>
      </c>
      <c r="E511" t="inlineStr">
        <is>
          <t>Compact</t>
        </is>
      </c>
      <c r="F511" t="inlineStr">
        <is>
          <t>Compact Node</t>
        </is>
      </c>
      <c r="T511" t="inlineStr">
        <is>
          <t>none</t>
        </is>
      </c>
      <c r="Z511">
        <f>IF(OR(K158="",K158="TABLE"),"",
_xlfn.TEXTJOIN(", ",TRUE,
IF(E158&lt;&gt;"",E158&amp;K158,""),
IF(F158&lt;&gt;"",F158&amp;K158,""),
IF(G158&lt;&gt;"",G158&amp;K158,"")
))</f>
        <v/>
      </c>
      <c r="AA511">
        <f>IF(K158="","",IF(K158="TABLE","",K158))</f>
        <v/>
      </c>
      <c r="AB511">
        <f>IF(ISNUMBER(SEARCH("기존변경필요",SUBSTITUTE(TRIM(V158),CHAR(10)," "))),"",
IFERROR(
  _xlfn.XLOOKUP(AA158,'기존 end point'!B:B,'기존 end point'!B:B,,0),
""))</f>
        <v/>
      </c>
    </row>
    <row r="512">
      <c r="A512" t="n">
        <v>157</v>
      </c>
      <c r="B512" t="inlineStr">
        <is>
          <t>civil-nx/gen-nx</t>
        </is>
      </c>
      <c r="C512" t="inlineStr">
        <is>
          <t>Node/Element</t>
        </is>
      </c>
      <c r="D512" t="inlineStr">
        <is>
          <t>Numbers</t>
        </is>
      </c>
      <c r="E512" t="inlineStr">
        <is>
          <t>Compact</t>
        </is>
      </c>
      <c r="F512" t="inlineStr">
        <is>
          <t>Compact Element</t>
        </is>
      </c>
      <c r="T512" t="inlineStr">
        <is>
          <t>none</t>
        </is>
      </c>
      <c r="Z512">
        <f>IF(OR(K159="",K159="TABLE"),"",
_xlfn.TEXTJOIN(", ",TRUE,
IF(E159&lt;&gt;"",E159&amp;K159,""),
IF(F159&lt;&gt;"",F159&amp;K159,""),
IF(G159&lt;&gt;"",G159&amp;K159,"")
))</f>
        <v/>
      </c>
      <c r="AA512">
        <f>IF(K159="","",IF(K159="TABLE","",K159))</f>
        <v/>
      </c>
      <c r="AB512">
        <f>IF(ISNUMBER(SEARCH("기존변경필요",SUBSTITUTE(TRIM(V159),CHAR(10)," "))),"",
IFERROR(
  _xlfn.XLOOKUP(AA159,'기존 end point'!B:B,'기존 end point'!B:B,,0),
""))</f>
        <v/>
      </c>
    </row>
    <row r="513">
      <c r="A513" t="n">
        <v>158</v>
      </c>
      <c r="B513" t="inlineStr">
        <is>
          <t>civil-nx/gen-nx</t>
        </is>
      </c>
      <c r="C513" t="inlineStr">
        <is>
          <t>Node/Element</t>
        </is>
      </c>
      <c r="D513" t="inlineStr">
        <is>
          <t>Node Detail</t>
        </is>
      </c>
      <c r="E513" t="inlineStr">
        <is>
          <t>Edit Nodes</t>
        </is>
      </c>
      <c r="F513" t="inlineStr">
        <is>
          <t>Project</t>
        </is>
      </c>
      <c r="T513" t="inlineStr">
        <is>
          <t>none</t>
        </is>
      </c>
      <c r="Z513">
        <f>IF(OR(K160="",K160="TABLE"),"",
_xlfn.TEXTJOIN(", ",TRUE,
IF(E160&lt;&gt;"",E160&amp;K160,""),
IF(F160&lt;&gt;"",F160&amp;K160,""),
IF(G160&lt;&gt;"",G160&amp;K160,"")
))</f>
        <v/>
      </c>
      <c r="AA513">
        <f>IF(K160="","",IF(K160="TABLE","",K160))</f>
        <v/>
      </c>
      <c r="AB513">
        <f>IF(ISNUMBER(SEARCH("기존변경필요",SUBSTITUTE(TRIM(V160),CHAR(10)," "))),"",
IFERROR(
  _xlfn.XLOOKUP(AA160,'기존 end point'!B:B,'기존 end point'!B:B,,0),
""))</f>
        <v/>
      </c>
    </row>
    <row r="514">
      <c r="A514" t="n">
        <v>159</v>
      </c>
      <c r="B514" t="inlineStr">
        <is>
          <t>civil-nx/gen-nx</t>
        </is>
      </c>
      <c r="C514" t="inlineStr">
        <is>
          <t>Node/Element</t>
        </is>
      </c>
      <c r="D514" t="inlineStr">
        <is>
          <t>Node Detail</t>
        </is>
      </c>
      <c r="E514" t="inlineStr">
        <is>
          <t>Edit Nodes</t>
        </is>
      </c>
      <c r="F514" t="inlineStr">
        <is>
          <t>Scale</t>
        </is>
      </c>
      <c r="T514" t="inlineStr">
        <is>
          <t>none</t>
        </is>
      </c>
      <c r="Z514">
        <f>IF(OR(K161="",K161="TABLE"),"",
_xlfn.TEXTJOIN(", ",TRUE,
IF(E161&lt;&gt;"",E161&amp;K161,""),
IF(F161&lt;&gt;"",F161&amp;K161,""),
IF(G161&lt;&gt;"",G161&amp;K161,"")
))</f>
        <v/>
      </c>
      <c r="AA514">
        <f>IF(K161="","",IF(K161="TABLE","",K161))</f>
        <v/>
      </c>
      <c r="AB514">
        <f>IF(ISNUMBER(SEARCH("기존변경필요",SUBSTITUTE(TRIM(V161),CHAR(10)," "))),"",
IFERROR(
  _xlfn.XLOOKUP(AA161,'기존 end point'!B:B,'기존 end point'!B:B,,0),
""))</f>
        <v/>
      </c>
    </row>
    <row r="515">
      <c r="A515" t="n">
        <v>160</v>
      </c>
      <c r="B515" t="inlineStr">
        <is>
          <t>civil-nx/gen-nx</t>
        </is>
      </c>
      <c r="C515" t="inlineStr">
        <is>
          <t>Node/Element</t>
        </is>
      </c>
      <c r="D515" t="inlineStr">
        <is>
          <t>Node Detail</t>
        </is>
      </c>
      <c r="E515" t="inlineStr">
        <is>
          <t>Node Local Axis</t>
        </is>
      </c>
      <c r="H515" t="inlineStr">
        <is>
          <t>db</t>
        </is>
      </c>
      <c r="I515" t="inlineStr">
        <is>
          <t>skew</t>
        </is>
      </c>
      <c r="K515">
        <f>_xlfn.TEXTAFTER(L162,"/",-1)</f>
        <v/>
      </c>
      <c r="L515" t="inlineStr">
        <is>
          <t>/db/skew</t>
        </is>
      </c>
      <c r="M515" t="inlineStr">
        <is>
          <t>Node Local Axis</t>
        </is>
      </c>
      <c r="N515" t="inlineStr">
        <is>
          <t>done</t>
        </is>
      </c>
      <c r="O515" t="inlineStr">
        <is>
          <t>done</t>
        </is>
      </c>
      <c r="P515" t="inlineStr">
        <is>
          <t>done</t>
        </is>
      </c>
      <c r="Q515" t="inlineStr">
        <is>
          <t>done</t>
        </is>
      </c>
      <c r="R515" t="inlineStr">
        <is>
          <t>done</t>
        </is>
      </c>
      <c r="S515" t="inlineStr">
        <is>
          <t>done</t>
        </is>
      </c>
      <c r="T515" t="inlineStr">
        <is>
          <t>Done</t>
        </is>
      </c>
      <c r="Z515">
        <f>IF(OR(K162="",K162="TABLE"),"",
_xlfn.TEXTJOIN(", ",TRUE,
IF(E162&lt;&gt;"",E162&amp;K162,""),
IF(F162&lt;&gt;"",F162&amp;K162,""),
IF(G162&lt;&gt;"",G162&amp;K162,"")
))</f>
        <v/>
      </c>
      <c r="AA515">
        <f>IF(K162="","",IF(K162="TABLE","",K162))</f>
        <v/>
      </c>
      <c r="AB515">
        <f>IF(ISNUMBER(SEARCH("기존변경필요",SUBSTITUTE(TRIM(V162),CHAR(10)," "))),"",
IFERROR(
  _xlfn.XLOOKUP(AA162,'기존 end point'!B:B,'기존 end point'!B:B,,0),
""))</f>
        <v/>
      </c>
    </row>
    <row r="516">
      <c r="A516" t="n">
        <v>161</v>
      </c>
      <c r="B516" t="inlineStr">
        <is>
          <t>civil-nx/gen-nx</t>
        </is>
      </c>
      <c r="C516" t="inlineStr">
        <is>
          <t>Node/Element</t>
        </is>
      </c>
      <c r="D516" t="inlineStr">
        <is>
          <t>Node Detail</t>
        </is>
      </c>
      <c r="E516" t="inlineStr">
        <is>
          <t>Nodes Table</t>
        </is>
      </c>
      <c r="F516" t="inlineStr">
        <is>
          <t>Node Table</t>
        </is>
      </c>
      <c r="T516" t="inlineStr">
        <is>
          <t>none</t>
        </is>
      </c>
      <c r="Z516">
        <f>IF(OR(K163="",K163="TABLE"),"",
_xlfn.TEXTJOIN(", ",TRUE,
IF(E163&lt;&gt;"",E163&amp;K163,""),
IF(F163&lt;&gt;"",F163&amp;K163,""),
IF(G163&lt;&gt;"",G163&amp;K163,"")
))</f>
        <v/>
      </c>
      <c r="AA516">
        <f>IF(K163="","",IF(K163="TABLE","",K163))</f>
        <v/>
      </c>
      <c r="AB516">
        <f>IF(ISNUMBER(SEARCH("기존변경필요",SUBSTITUTE(TRIM(V163),CHAR(10)," "))),"",
IFERROR(
  _xlfn.XLOOKUP(AA163,'기존 end point'!B:B,'기존 end point'!B:B,,0),
""))</f>
        <v/>
      </c>
    </row>
    <row r="517">
      <c r="A517" t="n">
        <v>162</v>
      </c>
      <c r="B517" t="inlineStr">
        <is>
          <t>civil-nx/gen-nx</t>
        </is>
      </c>
      <c r="C517" t="inlineStr">
        <is>
          <t>Node/Element</t>
        </is>
      </c>
      <c r="D517" t="inlineStr">
        <is>
          <t>Node Detail</t>
        </is>
      </c>
      <c r="E517" t="inlineStr">
        <is>
          <t>Nodes Table</t>
        </is>
      </c>
      <c r="F517" t="inlineStr">
        <is>
          <t>Node Detail Table</t>
        </is>
      </c>
      <c r="T517" t="inlineStr">
        <is>
          <t>none</t>
        </is>
      </c>
      <c r="Z517">
        <f>IF(OR(K164="",K164="TABLE"),"",
_xlfn.TEXTJOIN(", ",TRUE,
IF(E164&lt;&gt;"",E164&amp;K164,""),
IF(F164&lt;&gt;"",F164&amp;K164,""),
IF(G164&lt;&gt;"",G164&amp;K164,"")
))</f>
        <v/>
      </c>
      <c r="AA517">
        <f>IF(K164="","",IF(K164="TABLE","",K164))</f>
        <v/>
      </c>
      <c r="AB517">
        <f>IF(ISNUMBER(SEARCH("기존변경필요",SUBSTITUTE(TRIM(V164),CHAR(10)," "))),"",
IFERROR(
  _xlfn.XLOOKUP(AA164,'기존 end point'!B:B,'기존 end point'!B:B,,0),
""))</f>
        <v/>
      </c>
    </row>
    <row r="518">
      <c r="A518" t="n">
        <v>163</v>
      </c>
      <c r="B518" t="inlineStr">
        <is>
          <t>civil-nx/gen-nx</t>
        </is>
      </c>
      <c r="C518" t="inlineStr">
        <is>
          <t>Node/Element</t>
        </is>
      </c>
      <c r="D518" t="inlineStr">
        <is>
          <t>Node Detail</t>
        </is>
      </c>
      <c r="E518" t="inlineStr">
        <is>
          <t>Nodes Table</t>
        </is>
      </c>
      <c r="F518" t="inlineStr">
        <is>
          <t>Node Local Axis</t>
        </is>
      </c>
      <c r="T518" t="inlineStr">
        <is>
          <t>none</t>
        </is>
      </c>
      <c r="Z518">
        <f>IF(OR(K165="",K165="TABLE"),"",
_xlfn.TEXTJOIN(", ",TRUE,
IF(E165&lt;&gt;"",E165&amp;K165,""),
IF(F165&lt;&gt;"",F165&amp;K165,""),
IF(G165&lt;&gt;"",G165&amp;K165,"")
))</f>
        <v/>
      </c>
      <c r="AA518">
        <f>IF(K165="","",IF(K165="TABLE","",K165))</f>
        <v/>
      </c>
      <c r="AB518">
        <f>IF(ISNUMBER(SEARCH("기존변경필요",SUBSTITUTE(TRIM(V165),CHAR(10)," "))),"",
IFERROR(
  _xlfn.XLOOKUP(AA165,'기존 end point'!B:B,'기존 end point'!B:B,,0),
""))</f>
        <v/>
      </c>
    </row>
    <row r="519">
      <c r="A519" t="n">
        <v>164</v>
      </c>
      <c r="B519" t="inlineStr">
        <is>
          <t>civil-nx/gen-nx</t>
        </is>
      </c>
      <c r="C519" t="inlineStr">
        <is>
          <t>Node/Element</t>
        </is>
      </c>
      <c r="D519" t="inlineStr">
        <is>
          <t>Element Detail</t>
        </is>
      </c>
      <c r="E519" t="inlineStr">
        <is>
          <t>Edit Elements</t>
        </is>
      </c>
      <c r="F519" t="inlineStr">
        <is>
          <t>Extrude</t>
        </is>
      </c>
      <c r="T519" t="inlineStr">
        <is>
          <t>none</t>
        </is>
      </c>
      <c r="Z519">
        <f>IF(OR(K166="",K166="TABLE"),"",
_xlfn.TEXTJOIN(", ",TRUE,
IF(E166&lt;&gt;"",E166&amp;K166,""),
IF(F166&lt;&gt;"",F166&amp;K166,""),
IF(G166&lt;&gt;"",G166&amp;K166,"")
))</f>
        <v/>
      </c>
      <c r="AA519">
        <f>IF(K166="","",IF(K166="TABLE","",K166))</f>
        <v/>
      </c>
      <c r="AB519">
        <f>IF(ISNUMBER(SEARCH("기존변경필요",SUBSTITUTE(TRIM(V166),CHAR(10)," "))),"",
IFERROR(
  _xlfn.XLOOKUP(AA166,'기존 end point'!B:B,'기존 end point'!B:B,,0),
""))</f>
        <v/>
      </c>
    </row>
    <row r="520">
      <c r="A520" t="n">
        <v>165</v>
      </c>
      <c r="B520" t="inlineStr">
        <is>
          <t>civil-nx/gen-nx</t>
        </is>
      </c>
      <c r="C520" t="inlineStr">
        <is>
          <t>Node/Element</t>
        </is>
      </c>
      <c r="D520" t="inlineStr">
        <is>
          <t>Element Detail</t>
        </is>
      </c>
      <c r="E520" t="inlineStr">
        <is>
          <t>Edit Elements</t>
        </is>
      </c>
      <c r="F520" t="inlineStr">
        <is>
          <t>Intersect</t>
        </is>
      </c>
      <c r="T520" t="inlineStr">
        <is>
          <t>none</t>
        </is>
      </c>
      <c r="Z520">
        <f>IF(OR(K167="",K167="TABLE"),"",
_xlfn.TEXTJOIN(", ",TRUE,
IF(E167&lt;&gt;"",E167&amp;K167,""),
IF(F167&lt;&gt;"",F167&amp;K167,""),
IF(G167&lt;&gt;"",G167&amp;K167,"")
))</f>
        <v/>
      </c>
      <c r="AA520">
        <f>IF(K167="","",IF(K167="TABLE","",K167))</f>
        <v/>
      </c>
      <c r="AB520">
        <f>IF(ISNUMBER(SEARCH("기존변경필요",SUBSTITUTE(TRIM(V167),CHAR(10)," "))),"",
IFERROR(
  _xlfn.XLOOKUP(AA167,'기존 end point'!B:B,'기존 end point'!B:B,,0),
""))</f>
        <v/>
      </c>
    </row>
    <row r="521">
      <c r="A521" t="n">
        <v>166</v>
      </c>
      <c r="B521" t="inlineStr">
        <is>
          <t>gen-nx</t>
        </is>
      </c>
      <c r="C521" t="inlineStr">
        <is>
          <t>Node/Element</t>
        </is>
      </c>
      <c r="D521" t="inlineStr">
        <is>
          <t>Element Detail</t>
        </is>
      </c>
      <c r="E521" t="inlineStr">
        <is>
          <t>Edit Elements</t>
        </is>
      </c>
      <c r="F521" t="inlineStr">
        <is>
          <t>Wall Opening</t>
        </is>
      </c>
      <c r="T521" t="inlineStr">
        <is>
          <t>none</t>
        </is>
      </c>
      <c r="Z521">
        <f>IF(OR(K168="",K168="TABLE"),"",
_xlfn.TEXTJOIN(", ",TRUE,
IF(E168&lt;&gt;"",E168&amp;K168,""),
IF(F168&lt;&gt;"",F168&amp;K168,""),
IF(G168&lt;&gt;"",G168&amp;K168,"")
))</f>
        <v/>
      </c>
      <c r="AA521">
        <f>IF(K168="","",IF(K168="TABLE","",K168))</f>
        <v/>
      </c>
      <c r="AB521">
        <f>IF(ISNUMBER(SEARCH("기존변경필요",SUBSTITUTE(TRIM(V168),CHAR(10)," "))),"",
IFERROR(
  _xlfn.XLOOKUP(AA168,'기존 end point'!B:B,'기존 end point'!B:B,,0),
""))</f>
        <v/>
      </c>
    </row>
    <row r="522">
      <c r="A522" t="n">
        <v>167</v>
      </c>
      <c r="B522" t="inlineStr">
        <is>
          <t>civil-nx/gen-nx</t>
        </is>
      </c>
      <c r="C522" t="inlineStr">
        <is>
          <t>Node/Element</t>
        </is>
      </c>
      <c r="D522" t="inlineStr">
        <is>
          <t>Element Detail</t>
        </is>
      </c>
      <c r="E522" t="inlineStr">
        <is>
          <t>Advanced Create</t>
        </is>
      </c>
      <c r="F522" t="inlineStr">
        <is>
          <t>Line Elements on Curve</t>
        </is>
      </c>
      <c r="T522" t="inlineStr">
        <is>
          <t>none</t>
        </is>
      </c>
      <c r="Z522">
        <f>IF(OR(K169="",K169="TABLE"),"",
_xlfn.TEXTJOIN(", ",TRUE,
IF(E169&lt;&gt;"",E169&amp;K169,""),
IF(F169&lt;&gt;"",F169&amp;K169,""),
IF(G169&lt;&gt;"",G169&amp;K169,"")
))</f>
        <v/>
      </c>
      <c r="AA522">
        <f>IF(K169="","",IF(K169="TABLE","",K169))</f>
        <v/>
      </c>
      <c r="AB522">
        <f>IF(ISNUMBER(SEARCH("기존변경필요",SUBSTITUTE(TRIM(V169),CHAR(10)," "))),"",
IFERROR(
  _xlfn.XLOOKUP(AA169,'기존 end point'!B:B,'기존 end point'!B:B,,0),
""))</f>
        <v/>
      </c>
    </row>
    <row r="523">
      <c r="A523" t="n">
        <v>168</v>
      </c>
      <c r="B523" t="inlineStr">
        <is>
          <t>civil-nx/gen-nx</t>
        </is>
      </c>
      <c r="C523" t="inlineStr">
        <is>
          <t>Node/Element</t>
        </is>
      </c>
      <c r="D523" t="inlineStr">
        <is>
          <t>Element Detail</t>
        </is>
      </c>
      <c r="E523" t="inlineStr">
        <is>
          <t>Advanced Create</t>
        </is>
      </c>
      <c r="F523" t="inlineStr">
        <is>
          <t>Converted Line Elements</t>
        </is>
      </c>
      <c r="T523" t="inlineStr">
        <is>
          <t>none</t>
        </is>
      </c>
      <c r="Z523">
        <f>IF(OR(K170="",K170="TABLE"),"",
_xlfn.TEXTJOIN(", ",TRUE,
IF(E170&lt;&gt;"",E170&amp;K170,""),
IF(F170&lt;&gt;"",F170&amp;K170,""),
IF(G170&lt;&gt;"",G170&amp;K170,"")
))</f>
        <v/>
      </c>
      <c r="AA523">
        <f>IF(K170="","",IF(K170="TABLE","",K170))</f>
        <v/>
      </c>
      <c r="AB523">
        <f>IF(ISNUMBER(SEARCH("기존변경필요",SUBSTITUTE(TRIM(V170),CHAR(10)," "))),"",
IFERROR(
  _xlfn.XLOOKUP(AA170,'기존 end point'!B:B,'기존 end point'!B:B,,0),
""))</f>
        <v/>
      </c>
    </row>
    <row r="524">
      <c r="A524" t="n">
        <v>169</v>
      </c>
      <c r="B524" t="inlineStr">
        <is>
          <t>civil-nx/gen-nx</t>
        </is>
      </c>
      <c r="C524" t="inlineStr">
        <is>
          <t>Node/Element</t>
        </is>
      </c>
      <c r="D524" t="inlineStr">
        <is>
          <t>Element Detail</t>
        </is>
      </c>
      <c r="E524" t="inlineStr">
        <is>
          <t>Duplicate Elements</t>
        </is>
      </c>
      <c r="T524" t="inlineStr">
        <is>
          <t>none</t>
        </is>
      </c>
      <c r="Z524">
        <f>IF(OR(K171="",K171="TABLE"),"",
_xlfn.TEXTJOIN(", ",TRUE,
IF(E171&lt;&gt;"",E171&amp;K171,""),
IF(F171&lt;&gt;"",F171&amp;K171,""),
IF(G171&lt;&gt;"",G171&amp;K171,"")
))</f>
        <v/>
      </c>
      <c r="AA524">
        <f>IF(K171="","",IF(K171="TABLE","",K171))</f>
        <v/>
      </c>
      <c r="AB524">
        <f>IF(ISNUMBER(SEARCH("기존변경필요",SUBSTITUTE(TRIM(V171),CHAR(10)," "))),"",
IFERROR(
  _xlfn.XLOOKUP(AA171,'기존 end point'!B:B,'기존 end point'!B:B,,0),
""))</f>
        <v/>
      </c>
    </row>
    <row r="525">
      <c r="A525" t="n">
        <v>170</v>
      </c>
      <c r="B525" t="inlineStr">
        <is>
          <t>civil-nx/gen-nx</t>
        </is>
      </c>
      <c r="C525" t="inlineStr">
        <is>
          <t>Node/Element</t>
        </is>
      </c>
      <c r="D525" t="inlineStr">
        <is>
          <t>Element Detail</t>
        </is>
      </c>
      <c r="E525" t="inlineStr">
        <is>
          <t>Display Free Edge/Face</t>
        </is>
      </c>
      <c r="F525" t="inlineStr">
        <is>
          <t>Display Free Edge</t>
        </is>
      </c>
      <c r="T525" t="inlineStr">
        <is>
          <t>none</t>
        </is>
      </c>
      <c r="Z525">
        <f>IF(OR(K172="",K172="TABLE"),"",
_xlfn.TEXTJOIN(", ",TRUE,
IF(E172&lt;&gt;"",E172&amp;K172,""),
IF(F172&lt;&gt;"",F172&amp;K172,""),
IF(G172&lt;&gt;"",G172&amp;K172,"")
))</f>
        <v/>
      </c>
      <c r="AA525">
        <f>IF(K172="","",IF(K172="TABLE","",K172))</f>
        <v/>
      </c>
      <c r="AB525">
        <f>IF(ISNUMBER(SEARCH("기존변경필요",SUBSTITUTE(TRIM(V172),CHAR(10)," "))),"",
IFERROR(
  _xlfn.XLOOKUP(AA172,'기존 end point'!B:B,'기존 end point'!B:B,,0),
""))</f>
        <v/>
      </c>
    </row>
    <row r="526">
      <c r="A526" t="n">
        <v>171</v>
      </c>
      <c r="B526" t="inlineStr">
        <is>
          <t>civil-nx/gen-nx</t>
        </is>
      </c>
      <c r="C526" t="inlineStr">
        <is>
          <t>Node/Element</t>
        </is>
      </c>
      <c r="D526" t="inlineStr">
        <is>
          <t>Element Detail</t>
        </is>
      </c>
      <c r="E526" t="inlineStr">
        <is>
          <t>Display Free Edge/Face</t>
        </is>
      </c>
      <c r="F526" t="inlineStr">
        <is>
          <t>Display Free Face</t>
        </is>
      </c>
      <c r="T526" t="inlineStr">
        <is>
          <t>none</t>
        </is>
      </c>
      <c r="Z526">
        <f>IF(OR(K173="",K173="TABLE"),"",
_xlfn.TEXTJOIN(", ",TRUE,
IF(E173&lt;&gt;"",E173&amp;K173,""),
IF(F173&lt;&gt;"",F173&amp;K173,""),
IF(G173&lt;&gt;"",G173&amp;K173,"")
))</f>
        <v/>
      </c>
      <c r="AA526">
        <f>IF(K173="","",IF(K173="TABLE","",K173))</f>
        <v/>
      </c>
      <c r="AB526">
        <f>IF(ISNUMBER(SEARCH("기존변경필요",SUBSTITUTE(TRIM(V173),CHAR(10)," "))),"",
IFERROR(
  _xlfn.XLOOKUP(AA173,'기존 end point'!B:B,'기존 end point'!B:B,,0),
""))</f>
        <v/>
      </c>
    </row>
    <row r="527">
      <c r="A527" t="n">
        <v>172</v>
      </c>
      <c r="B527" t="inlineStr">
        <is>
          <t>civil-nx/gen-nx</t>
        </is>
      </c>
      <c r="C527" t="inlineStr">
        <is>
          <t>Node/Element</t>
        </is>
      </c>
      <c r="D527" t="inlineStr">
        <is>
          <t>Element Detail</t>
        </is>
      </c>
      <c r="E527" t="inlineStr">
        <is>
          <t>Check Element Local Axis</t>
        </is>
      </c>
      <c r="T527" t="inlineStr">
        <is>
          <t>none</t>
        </is>
      </c>
      <c r="Z527">
        <f>IF(OR(K174="",K174="TABLE"),"",
_xlfn.TEXTJOIN(", ",TRUE,
IF(E174&lt;&gt;"",E174&amp;K174,""),
IF(F174&lt;&gt;"",F174&amp;K174,""),
IF(G174&lt;&gt;"",G174&amp;K174,"")
))</f>
        <v/>
      </c>
      <c r="AA527">
        <f>IF(K174="","",IF(K174="TABLE","",K174))</f>
        <v/>
      </c>
      <c r="AB527">
        <f>IF(ISNUMBER(SEARCH("기존변경필요",SUBSTITUTE(TRIM(V174),CHAR(10)," "))),"",
IFERROR(
  _xlfn.XLOOKUP(AA174,'기존 end point'!B:B,'기존 end point'!B:B,,0),
""))</f>
        <v/>
      </c>
    </row>
    <row r="528">
      <c r="A528" t="n">
        <v>173</v>
      </c>
      <c r="B528" t="inlineStr">
        <is>
          <t>civil-nx/gen-nx</t>
        </is>
      </c>
      <c r="C528" t="inlineStr">
        <is>
          <t>Node/Element</t>
        </is>
      </c>
      <c r="D528" t="inlineStr">
        <is>
          <t>Element Detail</t>
        </is>
      </c>
      <c r="E528" t="inlineStr">
        <is>
          <t>Change Parameters</t>
        </is>
      </c>
      <c r="T528" t="inlineStr">
        <is>
          <t>none</t>
        </is>
      </c>
      <c r="Z528">
        <f>IF(OR(K175="",K175="TABLE"),"",
_xlfn.TEXTJOIN(", ",TRUE,
IF(E175&lt;&gt;"",E175&amp;K175,""),
IF(F175&lt;&gt;"",F175&amp;K175,""),
IF(G175&lt;&gt;"",G175&amp;K175,"")
))</f>
        <v/>
      </c>
      <c r="AA528">
        <f>IF(K175="","",IF(K175="TABLE","",K175))</f>
        <v/>
      </c>
      <c r="AB528">
        <f>IF(ISNUMBER(SEARCH("기존변경필요",SUBSTITUTE(TRIM(V175),CHAR(10)," "))),"",
IFERROR(
  _xlfn.XLOOKUP(AA175,'기존 end point'!B:B,'기존 end point'!B:B,,0),
""))</f>
        <v/>
      </c>
    </row>
    <row r="529">
      <c r="A529" t="n">
        <v>174</v>
      </c>
      <c r="B529" t="inlineStr">
        <is>
          <t>civil-nx/gen-nx</t>
        </is>
      </c>
      <c r="C529" t="inlineStr">
        <is>
          <t>Node/Element</t>
        </is>
      </c>
      <c r="D529" t="inlineStr">
        <is>
          <t>Element Detail</t>
        </is>
      </c>
      <c r="E529" t="inlineStr">
        <is>
          <t>Elements Table</t>
        </is>
      </c>
      <c r="F529" t="inlineStr">
        <is>
          <t>Element Table</t>
        </is>
      </c>
      <c r="T529" t="inlineStr">
        <is>
          <t>none</t>
        </is>
      </c>
      <c r="Z529">
        <f>IF(OR(K176="",K176="TABLE"),"",
_xlfn.TEXTJOIN(", ",TRUE,
IF(E176&lt;&gt;"",E176&amp;K176,""),
IF(F176&lt;&gt;"",F176&amp;K176,""),
IF(G176&lt;&gt;"",G176&amp;K176,"")
))</f>
        <v/>
      </c>
      <c r="AA529">
        <f>IF(K176="","",IF(K176="TABLE","",K176))</f>
        <v/>
      </c>
      <c r="AB529">
        <f>IF(ISNUMBER(SEARCH("기존변경필요",SUBSTITUTE(TRIM(V176),CHAR(10)," "))),"",
IFERROR(
  _xlfn.XLOOKUP(AA176,'기존 end point'!B:B,'기존 end point'!B:B,,0),
""))</f>
        <v/>
      </c>
    </row>
    <row r="530">
      <c r="A530" t="n">
        <v>175</v>
      </c>
      <c r="B530" t="inlineStr">
        <is>
          <t>civil-nx/gen-nx</t>
        </is>
      </c>
      <c r="C530" t="inlineStr">
        <is>
          <t>Node/Element</t>
        </is>
      </c>
      <c r="D530" t="inlineStr">
        <is>
          <t>Element Detail</t>
        </is>
      </c>
      <c r="E530" t="inlineStr">
        <is>
          <t>Elements Table</t>
        </is>
      </c>
      <c r="F530" t="inlineStr">
        <is>
          <t>Node Local Axis</t>
        </is>
      </c>
      <c r="T530" t="inlineStr">
        <is>
          <t>none</t>
        </is>
      </c>
      <c r="Z530">
        <f>IF(OR(K177="",K177="TABLE"),"",
_xlfn.TEXTJOIN(", ",TRUE,
IF(E177&lt;&gt;"",E177&amp;K177,""),
IF(F177&lt;&gt;"",F177&amp;K177,""),
IF(G177&lt;&gt;"",G177&amp;K177,"")
))</f>
        <v/>
      </c>
      <c r="AA530">
        <f>IF(K177="","",IF(K177="TABLE","",K177))</f>
        <v/>
      </c>
      <c r="AB530">
        <f>IF(ISNUMBER(SEARCH("기존변경필요",SUBSTITUTE(TRIM(V177),CHAR(10)," "))),"",
IFERROR(
  _xlfn.XLOOKUP(AA177,'기존 end point'!B:B,'기존 end point'!B:B,,0),
""))</f>
        <v/>
      </c>
    </row>
    <row r="531">
      <c r="A531" t="n">
        <v>176</v>
      </c>
      <c r="B531" t="inlineStr">
        <is>
          <t>civil-nx/gen-nx</t>
        </is>
      </c>
      <c r="C531" t="inlineStr">
        <is>
          <t>Node/Element</t>
        </is>
      </c>
      <c r="D531" t="inlineStr">
        <is>
          <t>Element Detail</t>
        </is>
      </c>
      <c r="E531" t="inlineStr">
        <is>
          <t>Elements Table</t>
        </is>
      </c>
      <c r="F531" t="inlineStr">
        <is>
          <t>Element Detail Table</t>
        </is>
      </c>
      <c r="T531" t="inlineStr">
        <is>
          <t>none</t>
        </is>
      </c>
      <c r="Z531">
        <f>IF(OR(K178="",K178="TABLE"),"",
_xlfn.TEXTJOIN(", ",TRUE,
IF(E178&lt;&gt;"",E178&amp;K178,""),
IF(F178&lt;&gt;"",F178&amp;K178,""),
IF(G178&lt;&gt;"",G178&amp;K178,"")
))</f>
        <v/>
      </c>
      <c r="AA531">
        <f>IF(K178="","",IF(K178="TABLE","",K178))</f>
        <v/>
      </c>
      <c r="AB531">
        <f>IF(ISNUMBER(SEARCH("기존변경필요",SUBSTITUTE(TRIM(V178),CHAR(10)," "))),"",
IFERROR(
  _xlfn.XLOOKUP(AA178,'기존 end point'!B:B,'기존 end point'!B:B,,0),
""))</f>
        <v/>
      </c>
    </row>
    <row r="532">
      <c r="A532" t="n">
        <v>177</v>
      </c>
      <c r="B532" t="inlineStr">
        <is>
          <t>civil-nx/gen-nx</t>
        </is>
      </c>
      <c r="C532" t="inlineStr">
        <is>
          <t>Node/Element</t>
        </is>
      </c>
      <c r="D532" t="inlineStr">
        <is>
          <t>Element Detail</t>
        </is>
      </c>
      <c r="E532" t="inlineStr">
        <is>
          <t>Elements Table</t>
        </is>
      </c>
      <c r="F532" t="inlineStr">
        <is>
          <t>Element Weight Table</t>
        </is>
      </c>
      <c r="T532" t="inlineStr">
        <is>
          <t>none</t>
        </is>
      </c>
      <c r="Z532">
        <f>IF(OR(K179="",K179="TABLE"),"",
_xlfn.TEXTJOIN(", ",TRUE,
IF(E179&lt;&gt;"",E179&amp;K179,""),
IF(F179&lt;&gt;"",F179&amp;K179,""),
IF(G179&lt;&gt;"",G179&amp;K179,"")
))</f>
        <v/>
      </c>
      <c r="AA532">
        <f>IF(K179="","",IF(K179="TABLE","",K179))</f>
        <v/>
      </c>
      <c r="AB532">
        <f>IF(ISNUMBER(SEARCH("기존변경필요",SUBSTITUTE(TRIM(V179),CHAR(10)," "))),"",
IFERROR(
  _xlfn.XLOOKUP(AA179,'기존 end point'!B:B,'기존 end point'!B:B,,0),
""))</f>
        <v/>
      </c>
    </row>
    <row r="533">
      <c r="A533" t="n">
        <v>178</v>
      </c>
      <c r="B533" t="inlineStr">
        <is>
          <t>gen-nx</t>
        </is>
      </c>
      <c r="C533" t="inlineStr">
        <is>
          <t>Node/Element</t>
        </is>
      </c>
      <c r="D533" t="inlineStr">
        <is>
          <t>Flat/Plate Structure</t>
        </is>
      </c>
      <c r="E533" t="inlineStr">
        <is>
          <t>Effective Beam</t>
        </is>
      </c>
      <c r="F533" t="inlineStr">
        <is>
          <t>Define Effective Beam</t>
        </is>
      </c>
      <c r="T533" t="inlineStr">
        <is>
          <t>none</t>
        </is>
      </c>
      <c r="Z533">
        <f>IF(OR(K180="",K180="TABLE"),"",
_xlfn.TEXTJOIN(", ",TRUE,
IF(E180&lt;&gt;"",E180&amp;K180,""),
IF(F180&lt;&gt;"",F180&amp;K180,""),
IF(G180&lt;&gt;"",G180&amp;K180,"")
))</f>
        <v/>
      </c>
      <c r="AA533">
        <f>IF(K180="","",IF(K180="TABLE","",K180))</f>
        <v/>
      </c>
      <c r="AB533">
        <f>IF(ISNUMBER(SEARCH("기존변경필요",SUBSTITUTE(TRIM(V180),CHAR(10)," "))),"",
IFERROR(
  _xlfn.XLOOKUP(AA180,'기존 end point'!B:B,'기존 end point'!B:B,,0),
""))</f>
        <v/>
      </c>
    </row>
    <row r="534">
      <c r="A534" t="n">
        <v>179</v>
      </c>
      <c r="B534" t="inlineStr">
        <is>
          <t>gen-nx</t>
        </is>
      </c>
      <c r="C534" t="inlineStr">
        <is>
          <t>Node/Element</t>
        </is>
      </c>
      <c r="D534" t="inlineStr">
        <is>
          <t>Flat/Plate Structure</t>
        </is>
      </c>
      <c r="E534" t="inlineStr">
        <is>
          <t>Effective Beam</t>
        </is>
      </c>
      <c r="F534" t="inlineStr">
        <is>
          <t>Create Effective Beam</t>
        </is>
      </c>
      <c r="T534" t="inlineStr">
        <is>
          <t>none</t>
        </is>
      </c>
      <c r="Z534">
        <f>IF(OR(K181="",K181="TABLE"),"",
_xlfn.TEXTJOIN(", ",TRUE,
IF(E181&lt;&gt;"",E181&amp;K181,""),
IF(F181&lt;&gt;"",F181&amp;K181,""),
IF(G181&lt;&gt;"",G181&amp;K181,"")
))</f>
        <v/>
      </c>
      <c r="AA534">
        <f>IF(K181="","",IF(K181="TABLE","",K181))</f>
        <v/>
      </c>
      <c r="AB534">
        <f>IF(ISNUMBER(SEARCH("기존변경필요",SUBSTITUTE(TRIM(V181),CHAR(10)," "))),"",
IFERROR(
  _xlfn.XLOOKUP(AA181,'기존 end point'!B:B,'기존 end point'!B:B,,0),
""))</f>
        <v/>
      </c>
    </row>
    <row r="535">
      <c r="A535" t="n">
        <v>180</v>
      </c>
      <c r="B535" t="inlineStr">
        <is>
          <t>gen-nx</t>
        </is>
      </c>
      <c r="C535" t="inlineStr">
        <is>
          <t>Node/Element</t>
        </is>
      </c>
      <c r="D535" t="inlineStr">
        <is>
          <t>Flat/Plate Structure</t>
        </is>
      </c>
      <c r="E535" t="inlineStr">
        <is>
          <t>Column Strip</t>
        </is>
      </c>
      <c r="F535" t="inlineStr">
        <is>
          <t>Define Column Strip</t>
        </is>
      </c>
      <c r="T535" t="inlineStr">
        <is>
          <t>none</t>
        </is>
      </c>
      <c r="Z535">
        <f>IF(OR(K182="",K182="TABLE"),"",
_xlfn.TEXTJOIN(", ",TRUE,
IF(E182&lt;&gt;"",E182&amp;K182,""),
IF(F182&lt;&gt;"",F182&amp;K182,""),
IF(G182&lt;&gt;"",G182&amp;K182,"")
))</f>
        <v/>
      </c>
      <c r="AA535">
        <f>IF(K182="","",IF(K182="TABLE","",K182))</f>
        <v/>
      </c>
      <c r="AB535">
        <f>IF(ISNUMBER(SEARCH("기존변경필요",SUBSTITUTE(TRIM(V182),CHAR(10)," "))),"",
IFERROR(
  _xlfn.XLOOKUP(AA182,'기존 end point'!B:B,'기존 end point'!B:B,,0),
""))</f>
        <v/>
      </c>
    </row>
    <row r="536">
      <c r="A536" t="n">
        <v>181</v>
      </c>
      <c r="B536" t="inlineStr">
        <is>
          <t>gen-nx</t>
        </is>
      </c>
      <c r="C536" t="inlineStr">
        <is>
          <t>Node/Element</t>
        </is>
      </c>
      <c r="D536" t="inlineStr">
        <is>
          <t>Flat/Plate Structure</t>
        </is>
      </c>
      <c r="E536" t="inlineStr">
        <is>
          <t>Column Strip</t>
        </is>
      </c>
      <c r="F536" t="inlineStr">
        <is>
          <t>Assign Column Strip</t>
        </is>
      </c>
      <c r="T536" t="inlineStr">
        <is>
          <t>none</t>
        </is>
      </c>
      <c r="Z536">
        <f>IF(OR(K183="",K183="TABLE"),"",
_xlfn.TEXTJOIN(", ",TRUE,
IF(E183&lt;&gt;"",E183&amp;K183,""),
IF(F183&lt;&gt;"",F183&amp;K183,""),
IF(G183&lt;&gt;"",G183&amp;K183,"")
))</f>
        <v/>
      </c>
      <c r="AA536">
        <f>IF(K183="","",IF(K183="TABLE","",K183))</f>
        <v/>
      </c>
      <c r="AB536">
        <f>IF(ISNUMBER(SEARCH("기존변경필요",SUBSTITUTE(TRIM(V183),CHAR(10)," "))),"",
IFERROR(
  _xlfn.XLOOKUP(AA183,'기존 end point'!B:B,'기존 end point'!B:B,,0),
""))</f>
        <v/>
      </c>
    </row>
    <row r="537">
      <c r="A537" t="n">
        <v>182</v>
      </c>
      <c r="B537" t="inlineStr">
        <is>
          <t>gen-nx</t>
        </is>
      </c>
      <c r="C537" t="inlineStr">
        <is>
          <t>Node/Element</t>
        </is>
      </c>
      <c r="D537" t="inlineStr">
        <is>
          <t>Flat/Plate Structure</t>
        </is>
      </c>
      <c r="E537" t="inlineStr">
        <is>
          <t>Drop Panel</t>
        </is>
      </c>
      <c r="F537" t="inlineStr">
        <is>
          <t>Define Drop Panel</t>
        </is>
      </c>
      <c r="T537" t="inlineStr">
        <is>
          <t>none</t>
        </is>
      </c>
      <c r="Z537">
        <f>IF(OR(K184="",K184="TABLE"),"",
_xlfn.TEXTJOIN(", ",TRUE,
IF(E184&lt;&gt;"",E184&amp;K184,""),
IF(F184&lt;&gt;"",F184&amp;K184,""),
IF(G184&lt;&gt;"",G184&amp;K184,"")
))</f>
        <v/>
      </c>
      <c r="AA537">
        <f>IF(K184="","",IF(K184="TABLE","",K184))</f>
        <v/>
      </c>
      <c r="AB537">
        <f>IF(ISNUMBER(SEARCH("기존변경필요",SUBSTITUTE(TRIM(V184),CHAR(10)," "))),"",
IFERROR(
  _xlfn.XLOOKUP(AA184,'기존 end point'!B:B,'기존 end point'!B:B,,0),
""))</f>
        <v/>
      </c>
    </row>
    <row r="538">
      <c r="A538" t="n">
        <v>183</v>
      </c>
      <c r="B538" t="inlineStr">
        <is>
          <t>gen-nx</t>
        </is>
      </c>
      <c r="C538" t="inlineStr">
        <is>
          <t>Node/Element</t>
        </is>
      </c>
      <c r="D538" t="inlineStr">
        <is>
          <t>Flat/Plate Structure</t>
        </is>
      </c>
      <c r="E538" t="inlineStr">
        <is>
          <t>Drop Panel</t>
        </is>
      </c>
      <c r="F538" t="inlineStr">
        <is>
          <t>Assign Drop Panel</t>
        </is>
      </c>
      <c r="T538" t="inlineStr">
        <is>
          <t>none</t>
        </is>
      </c>
      <c r="Z538">
        <f>IF(OR(K185="",K185="TABLE"),"",
_xlfn.TEXTJOIN(", ",TRUE,
IF(E185&lt;&gt;"",E185&amp;K185,""),
IF(F185&lt;&gt;"",F185&amp;K185,""),
IF(G185&lt;&gt;"",G185&amp;K185,"")
))</f>
        <v/>
      </c>
      <c r="AA538">
        <f>IF(K185="","",IF(K185="TABLE","",K185))</f>
        <v/>
      </c>
      <c r="AB538">
        <f>IF(ISNUMBER(SEARCH("기존변경필요",SUBSTITUTE(TRIM(V185),CHAR(10)," "))),"",
IFERROR(
  _xlfn.XLOOKUP(AA185,'기존 end point'!B:B,'기존 end point'!B:B,,0),
""))</f>
        <v/>
      </c>
    </row>
    <row r="539">
      <c r="A539" t="n">
        <v>184</v>
      </c>
      <c r="B539" t="inlineStr">
        <is>
          <t>gen-nx</t>
        </is>
      </c>
      <c r="C539" t="inlineStr">
        <is>
          <t>Node/Element</t>
        </is>
      </c>
      <c r="D539" t="inlineStr">
        <is>
          <t>Flat/Plate Structure</t>
        </is>
      </c>
      <c r="E539" t="inlineStr">
        <is>
          <t>Column Capital</t>
        </is>
      </c>
      <c r="F539" t="inlineStr">
        <is>
          <t>Define Column Capital</t>
        </is>
      </c>
      <c r="T539" t="inlineStr">
        <is>
          <t>none</t>
        </is>
      </c>
      <c r="Z539">
        <f>IF(OR(K186="",K186="TABLE"),"",
_xlfn.TEXTJOIN(", ",TRUE,
IF(E186&lt;&gt;"",E186&amp;K186,""),
IF(F186&lt;&gt;"",F186&amp;K186,""),
IF(G186&lt;&gt;"",G186&amp;K186,"")
))</f>
        <v/>
      </c>
      <c r="AA539">
        <f>IF(K186="","",IF(K186="TABLE","",K186))</f>
        <v/>
      </c>
      <c r="AB539">
        <f>IF(ISNUMBER(SEARCH("기존변경필요",SUBSTITUTE(TRIM(V186),CHAR(10)," "))),"",
IFERROR(
  _xlfn.XLOOKUP(AA186,'기존 end point'!B:B,'기존 end point'!B:B,,0),
""))</f>
        <v/>
      </c>
    </row>
    <row r="540">
      <c r="A540" t="n">
        <v>185</v>
      </c>
      <c r="B540" t="inlineStr">
        <is>
          <t>gen-nx</t>
        </is>
      </c>
      <c r="C540" t="inlineStr">
        <is>
          <t>Node/Element</t>
        </is>
      </c>
      <c r="D540" t="inlineStr">
        <is>
          <t>Flat/Plate Structure</t>
        </is>
      </c>
      <c r="E540" t="inlineStr">
        <is>
          <t>Column Capital</t>
        </is>
      </c>
      <c r="F540" t="inlineStr">
        <is>
          <t>Assign Column Capital</t>
        </is>
      </c>
      <c r="T540" t="inlineStr">
        <is>
          <t>none</t>
        </is>
      </c>
      <c r="Z540">
        <f>IF(OR(K187="",K187="TABLE"),"",
_xlfn.TEXTJOIN(", ",TRUE,
IF(E187&lt;&gt;"",E187&amp;K187,""),
IF(F187&lt;&gt;"",F187&amp;K187,""),
IF(G187&lt;&gt;"",G187&amp;K187,"")
))</f>
        <v/>
      </c>
      <c r="AA540">
        <f>IF(K187="","",IF(K187="TABLE","",K187))</f>
        <v/>
      </c>
      <c r="AB540">
        <f>IF(ISNUMBER(SEARCH("기존변경필요",SUBSTITUTE(TRIM(V187),CHAR(10)," "))),"",
IFERROR(
  _xlfn.XLOOKUP(AA187,'기존 end point'!B:B,'기존 end point'!B:B,,0),
""))</f>
        <v/>
      </c>
    </row>
    <row r="541">
      <c r="A541" t="n">
        <v>186</v>
      </c>
      <c r="B541" t="inlineStr">
        <is>
          <t>civil-nx/gen-nx</t>
        </is>
      </c>
      <c r="C541" t="inlineStr">
        <is>
          <t>Node/Element</t>
        </is>
      </c>
      <c r="D541" t="inlineStr">
        <is>
          <t>Mesh</t>
        </is>
      </c>
      <c r="E541" t="inlineStr">
        <is>
          <t>Mesh</t>
        </is>
      </c>
      <c r="F541" t="inlineStr">
        <is>
          <t>Map-mesh</t>
        </is>
      </c>
      <c r="T541" t="inlineStr">
        <is>
          <t>none</t>
        </is>
      </c>
      <c r="Z541">
        <f>IF(OR(K188="",K188="TABLE"),"",
_xlfn.TEXTJOIN(", ",TRUE,
IF(E188&lt;&gt;"",E188&amp;K188,""),
IF(F188&lt;&gt;"",F188&amp;K188,""),
IF(G188&lt;&gt;"",G188&amp;K188,"")
))</f>
        <v/>
      </c>
      <c r="AA541">
        <f>IF(K188="","",IF(K188="TABLE","",K188))</f>
        <v/>
      </c>
      <c r="AB541">
        <f>IF(ISNUMBER(SEARCH("기존변경필요",SUBSTITUTE(TRIM(V188),CHAR(10)," "))),"",
IFERROR(
  _xlfn.XLOOKUP(AA188,'기존 end point'!B:B,'기존 end point'!B:B,,0),
""))</f>
        <v/>
      </c>
    </row>
    <row r="542">
      <c r="A542" t="n">
        <v>187</v>
      </c>
      <c r="B542" t="inlineStr">
        <is>
          <t>civil-nx/gen-nx</t>
        </is>
      </c>
      <c r="C542" t="inlineStr">
        <is>
          <t>Node/Element</t>
        </is>
      </c>
      <c r="D542" t="inlineStr">
        <is>
          <t>Mesh</t>
        </is>
      </c>
      <c r="E542" t="inlineStr">
        <is>
          <t>Domain</t>
        </is>
      </c>
      <c r="F542" t="inlineStr">
        <is>
          <t>Define Domain</t>
        </is>
      </c>
      <c r="H542" t="inlineStr">
        <is>
          <t>db</t>
        </is>
      </c>
      <c r="I542" t="inlineStr">
        <is>
          <t>mado</t>
        </is>
      </c>
      <c r="K542">
        <f>_xlfn.TEXTAFTER(L189,"/",-1)</f>
        <v/>
      </c>
      <c r="L542" t="inlineStr">
        <is>
          <t>/db/mado</t>
        </is>
      </c>
      <c r="M542" t="inlineStr">
        <is>
          <t>Define Domain</t>
        </is>
      </c>
      <c r="N542" t="inlineStr">
        <is>
          <t>done</t>
        </is>
      </c>
      <c r="O542" t="inlineStr">
        <is>
          <t>done</t>
        </is>
      </c>
      <c r="P542" t="inlineStr">
        <is>
          <t>done</t>
        </is>
      </c>
      <c r="Q542" t="inlineStr">
        <is>
          <t>done</t>
        </is>
      </c>
      <c r="R542" t="inlineStr">
        <is>
          <t>done</t>
        </is>
      </c>
      <c r="S542" t="inlineStr">
        <is>
          <t>done</t>
        </is>
      </c>
      <c r="T542" t="inlineStr">
        <is>
          <t>Done</t>
        </is>
      </c>
      <c r="Z542">
        <f>IF(OR(K189="",K189="TABLE"),"",
_xlfn.TEXTJOIN(", ",TRUE,
IF(E189&lt;&gt;"",E189&amp;K189,""),
IF(F189&lt;&gt;"",F189&amp;K189,""),
IF(G189&lt;&gt;"",G189&amp;K189,"")
))</f>
        <v/>
      </c>
      <c r="AA542">
        <f>IF(K189="","",IF(K189="TABLE","",K189))</f>
        <v/>
      </c>
      <c r="AB542">
        <f>IF(ISNUMBER(SEARCH("기존변경필요",SUBSTITUTE(TRIM(V189),CHAR(10)," "))),"",
IFERROR(
  _xlfn.XLOOKUP(AA189,'기존 end point'!B:B,'기존 end point'!B:B,,0),
""))</f>
        <v/>
      </c>
    </row>
    <row r="543">
      <c r="A543" t="n">
        <v>188</v>
      </c>
      <c r="B543" t="inlineStr">
        <is>
          <t>civil-nx/gen-nx</t>
        </is>
      </c>
      <c r="C543" t="inlineStr">
        <is>
          <t>Node/Element</t>
        </is>
      </c>
      <c r="D543" t="inlineStr">
        <is>
          <t>Mesh</t>
        </is>
      </c>
      <c r="E543" t="inlineStr">
        <is>
          <t>Domain</t>
        </is>
      </c>
      <c r="F543" t="inlineStr">
        <is>
          <t>Define Sub-Domain</t>
        </is>
      </c>
      <c r="H543" t="inlineStr">
        <is>
          <t>db</t>
        </is>
      </c>
      <c r="I543" t="inlineStr">
        <is>
          <t>sbdo</t>
        </is>
      </c>
      <c r="K543">
        <f>_xlfn.TEXTAFTER(L190,"/",-1)</f>
        <v/>
      </c>
      <c r="L543" t="inlineStr">
        <is>
          <t>/db/sbdo</t>
        </is>
      </c>
      <c r="M543" t="inlineStr">
        <is>
          <t>Define Sub-Domain</t>
        </is>
      </c>
      <c r="N543" t="inlineStr">
        <is>
          <t>done</t>
        </is>
      </c>
      <c r="O543" t="inlineStr">
        <is>
          <t>done</t>
        </is>
      </c>
      <c r="P543" t="inlineStr">
        <is>
          <t>done</t>
        </is>
      </c>
      <c r="Q543" t="inlineStr">
        <is>
          <t>done</t>
        </is>
      </c>
      <c r="R543" t="inlineStr">
        <is>
          <t>done</t>
        </is>
      </c>
      <c r="S543" t="inlineStr">
        <is>
          <t>done</t>
        </is>
      </c>
      <c r="T543" t="inlineStr">
        <is>
          <t>Done</t>
        </is>
      </c>
      <c r="Z543">
        <f>IF(OR(K190="",K190="TABLE"),"",
_xlfn.TEXTJOIN(", ",TRUE,
IF(E190&lt;&gt;"",E190&amp;K190,""),
IF(F190&lt;&gt;"",F190&amp;K190,""),
IF(G190&lt;&gt;"",G190&amp;K190,"")
))</f>
        <v/>
      </c>
      <c r="AA543">
        <f>IF(K190="","",IF(K190="TABLE","",K190))</f>
        <v/>
      </c>
      <c r="AB543">
        <f>IF(ISNUMBER(SEARCH("기존변경필요",SUBSTITUTE(TRIM(V190),CHAR(10)," "))),"",
IFERROR(
  _xlfn.XLOOKUP(AA190,'기존 end point'!B:B,'기존 end point'!B:B,,0),
""))</f>
        <v/>
      </c>
    </row>
    <row r="544">
      <c r="A544" s="26" t="n"/>
      <c r="B544" s="26" t="n"/>
      <c r="C544" s="26" t="inlineStr">
        <is>
          <t>DB_Node/Element</t>
        </is>
      </c>
      <c r="D544" s="26" t="inlineStr">
        <is>
          <t>DB_Node/Element</t>
        </is>
      </c>
      <c r="E544" s="26" t="inlineStr">
        <is>
          <t>Domain-Element</t>
        </is>
      </c>
      <c r="F544" s="26" t="n"/>
      <c r="G544" s="26" t="n"/>
      <c r="H544" s="26" t="inlineStr">
        <is>
          <t>DB</t>
        </is>
      </c>
      <c r="I544" s="26" t="inlineStr">
        <is>
          <t>DOEL</t>
        </is>
      </c>
      <c r="J544" s="26" t="n"/>
      <c r="K544" s="26" t="n"/>
      <c r="L544" s="26" t="inlineStr">
        <is>
          <t>/DB/DOEL</t>
        </is>
      </c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inlineStr">
        <is>
          <t>DELETE, GET, POST, PUT</t>
        </is>
      </c>
      <c r="W544" s="26" t="n"/>
      <c r="X544" s="26" t="n"/>
    </row>
    <row r="545">
      <c r="A545" t="n">
        <v>189</v>
      </c>
      <c r="B545" t="inlineStr">
        <is>
          <t>civil-nx/gen-nx</t>
        </is>
      </c>
      <c r="C545" t="inlineStr">
        <is>
          <t>Node/Element</t>
        </is>
      </c>
      <c r="D545" t="inlineStr">
        <is>
          <t>Query</t>
        </is>
      </c>
      <c r="E545" t="inlineStr">
        <is>
          <t>Query</t>
        </is>
      </c>
      <c r="F545" t="inlineStr">
        <is>
          <t>Dynamic Query</t>
        </is>
      </c>
      <c r="T545" t="inlineStr">
        <is>
          <t>none</t>
        </is>
      </c>
      <c r="Z545">
        <f>IF(OR(K191="",K191="TABLE"),"",
_xlfn.TEXTJOIN(", ",TRUE,
IF(E191&lt;&gt;"",E191&amp;K191,""),
IF(F191&lt;&gt;"",F191&amp;K191,""),
IF(G191&lt;&gt;"",G191&amp;K191,"")
))</f>
        <v/>
      </c>
      <c r="AA545">
        <f>IF(K191="","",IF(K191="TABLE","",K191))</f>
        <v/>
      </c>
      <c r="AB545">
        <f>IF(ISNUMBER(SEARCH("기존변경필요",SUBSTITUTE(TRIM(V191),CHAR(10)," "))),"",
IFERROR(
  _xlfn.XLOOKUP(AA191,'기존 end point'!B:B,'기존 end point'!B:B,,0),
""))</f>
        <v/>
      </c>
    </row>
    <row r="546">
      <c r="A546" t="n">
        <v>190</v>
      </c>
      <c r="B546" t="inlineStr">
        <is>
          <t>civil-nx/gen-nx</t>
        </is>
      </c>
      <c r="C546" t="inlineStr">
        <is>
          <t>Node/Element</t>
        </is>
      </c>
      <c r="D546" t="inlineStr">
        <is>
          <t>Query</t>
        </is>
      </c>
      <c r="E546" t="inlineStr">
        <is>
          <t>Query</t>
        </is>
      </c>
      <c r="F546" t="inlineStr">
        <is>
          <t>Query Nodes</t>
        </is>
      </c>
      <c r="T546" t="inlineStr">
        <is>
          <t>none</t>
        </is>
      </c>
      <c r="Z546">
        <f>IF(OR(K192="",K192="TABLE"),"",
_xlfn.TEXTJOIN(", ",TRUE,
IF(E192&lt;&gt;"",E192&amp;K192,""),
IF(F192&lt;&gt;"",F192&amp;K192,""),
IF(G192&lt;&gt;"",G192&amp;K192,"")
))</f>
        <v/>
      </c>
      <c r="AA546">
        <f>IF(K192="","",IF(K192="TABLE","",K192))</f>
        <v/>
      </c>
      <c r="AB546">
        <f>IF(ISNUMBER(SEARCH("기존변경필요",SUBSTITUTE(TRIM(V192),CHAR(10)," "))),"",
IFERROR(
  _xlfn.XLOOKUP(AA192,'기존 end point'!B:B,'기존 end point'!B:B,,0),
""))</f>
        <v/>
      </c>
    </row>
    <row r="547">
      <c r="A547" t="n">
        <v>191</v>
      </c>
      <c r="B547" t="inlineStr">
        <is>
          <t>civil-nx/gen-nx</t>
        </is>
      </c>
      <c r="C547" t="inlineStr">
        <is>
          <t>Node/Element</t>
        </is>
      </c>
      <c r="D547" t="inlineStr">
        <is>
          <t>Query</t>
        </is>
      </c>
      <c r="E547" t="inlineStr">
        <is>
          <t>Query</t>
        </is>
      </c>
      <c r="F547" t="inlineStr">
        <is>
          <t>Query Elements</t>
        </is>
      </c>
      <c r="T547" t="inlineStr">
        <is>
          <t>none</t>
        </is>
      </c>
      <c r="Z547">
        <f>IF(OR(K193="",K193="TABLE"),"",
_xlfn.TEXTJOIN(", ",TRUE,
IF(E193&lt;&gt;"",E193&amp;K193,""),
IF(F193&lt;&gt;"",F193&amp;K193,""),
IF(G193&lt;&gt;"",G193&amp;K193,"")
))</f>
        <v/>
      </c>
      <c r="AA547">
        <f>IF(K193="","",IF(K193="TABLE","",K193))</f>
        <v/>
      </c>
      <c r="AB547">
        <f>IF(ISNUMBER(SEARCH("기존변경필요",SUBSTITUTE(TRIM(V193),CHAR(10)," "))),"",
IFERROR(
  _xlfn.XLOOKUP(AA193,'기존 end point'!B:B,'기존 end point'!B:B,,0),
""))</f>
        <v/>
      </c>
    </row>
    <row r="548">
      <c r="A548" t="n">
        <v>192</v>
      </c>
      <c r="B548" t="inlineStr">
        <is>
          <t>civil-nx/gen-nx</t>
        </is>
      </c>
      <c r="C548" t="inlineStr">
        <is>
          <t>Property</t>
        </is>
      </c>
      <c r="D548" t="inlineStr">
        <is>
          <t>Material Properties</t>
        </is>
      </c>
      <c r="E548" t="inlineStr">
        <is>
          <t>Material Properties</t>
        </is>
      </c>
      <c r="H548" t="inlineStr">
        <is>
          <t>db</t>
        </is>
      </c>
      <c r="I548" t="inlineStr">
        <is>
          <t>matl</t>
        </is>
      </c>
      <c r="K548">
        <f>_xlfn.TEXTAFTER(L194,"/",-1)</f>
        <v/>
      </c>
      <c r="L548" t="inlineStr">
        <is>
          <t>/db/matl</t>
        </is>
      </c>
      <c r="M548" t="inlineStr">
        <is>
          <t>Material Properties</t>
        </is>
      </c>
      <c r="N548" t="inlineStr">
        <is>
          <t>done</t>
        </is>
      </c>
      <c r="O548" t="inlineStr">
        <is>
          <t>done</t>
        </is>
      </c>
      <c r="P548" t="inlineStr">
        <is>
          <t>done</t>
        </is>
      </c>
      <c r="Q548" t="inlineStr">
        <is>
          <t>done</t>
        </is>
      </c>
      <c r="R548" t="inlineStr">
        <is>
          <t>done</t>
        </is>
      </c>
      <c r="S548" t="inlineStr">
        <is>
          <t>done</t>
        </is>
      </c>
      <c r="T548" t="inlineStr">
        <is>
          <t>Done</t>
        </is>
      </c>
      <c r="Z548">
        <f>IF(OR(K194="",K194="TABLE"),"",
_xlfn.TEXTJOIN(", ",TRUE,
IF(E194&lt;&gt;"",E194&amp;K194,""),
IF(F194&lt;&gt;"",F194&amp;K194,""),
IF(G194&lt;&gt;"",G194&amp;K194,"")
))</f>
        <v/>
      </c>
      <c r="AA548">
        <f>IF(K194="","",IF(K194="TABLE","",K194))</f>
        <v/>
      </c>
      <c r="AB548">
        <f>IF(ISNUMBER(SEARCH("기존변경필요",SUBSTITUTE(TRIM(V194),CHAR(10)," "))),"",
IFERROR(
  _xlfn.XLOOKUP(AA194,'기존 end point'!B:B,'기존 end point'!B:B,,0),
""))</f>
        <v/>
      </c>
    </row>
    <row r="549">
      <c r="A549" s="26" t="n"/>
      <c r="B549" s="26" t="n"/>
      <c r="C549" s="26" t="inlineStr">
        <is>
          <t>DB_Properties</t>
        </is>
      </c>
      <c r="D549" s="26" t="inlineStr">
        <is>
          <t>DB_Properties</t>
        </is>
      </c>
      <c r="E549" s="26" t="inlineStr">
        <is>
          <t>Inelastic Material Properties for Fiber Model</t>
        </is>
      </c>
      <c r="F549" s="26" t="n"/>
      <c r="G549" s="26" t="n"/>
      <c r="H549" s="26" t="inlineStr">
        <is>
          <t>DB</t>
        </is>
      </c>
      <c r="I549" s="26" t="inlineStr">
        <is>
          <t>IMFM</t>
        </is>
      </c>
      <c r="J549" s="26" t="n"/>
      <c r="K549" s="26" t="n"/>
      <c r="L549" s="26" t="inlineStr">
        <is>
          <t>/DB/IMFM</t>
        </is>
      </c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inlineStr">
        <is>
          <t>DELETE, GET, POST, PUT</t>
        </is>
      </c>
      <c r="W549" s="26" t="n"/>
      <c r="X549" s="26" t="n"/>
    </row>
    <row r="550">
      <c r="A550" t="n">
        <v>193</v>
      </c>
      <c r="B550" t="inlineStr">
        <is>
          <t>civil-nx/gen-nx</t>
        </is>
      </c>
      <c r="C550" t="inlineStr">
        <is>
          <t>Property</t>
        </is>
      </c>
      <c r="D550" t="inlineStr">
        <is>
          <t>Material Properties</t>
        </is>
      </c>
      <c r="E550" t="inlineStr">
        <is>
          <t>Time Dependent</t>
        </is>
      </c>
      <c r="F550" t="inlineStr">
        <is>
          <t>User Define</t>
        </is>
      </c>
      <c r="H550" t="inlineStr">
        <is>
          <t>db</t>
        </is>
      </c>
      <c r="I550" t="inlineStr">
        <is>
          <t>tdmf</t>
        </is>
      </c>
      <c r="K550">
        <f>_xlfn.TEXTAFTER(L195,"/",-1)</f>
        <v/>
      </c>
      <c r="L550" t="inlineStr">
        <is>
          <t>/db/tdmf</t>
        </is>
      </c>
      <c r="M550" t="inlineStr">
        <is>
          <t>Time Dependent Material Properties - User Defined</t>
        </is>
      </c>
      <c r="N550" t="inlineStr">
        <is>
          <t>done</t>
        </is>
      </c>
      <c r="O550" t="inlineStr">
        <is>
          <t>done</t>
        </is>
      </c>
      <c r="P550" t="inlineStr">
        <is>
          <t>done</t>
        </is>
      </c>
      <c r="Q550" t="inlineStr">
        <is>
          <t>done</t>
        </is>
      </c>
      <c r="R550" t="inlineStr">
        <is>
          <t>done</t>
        </is>
      </c>
      <c r="S550" t="inlineStr">
        <is>
          <t>done</t>
        </is>
      </c>
      <c r="T550" t="inlineStr">
        <is>
          <t>Done</t>
        </is>
      </c>
      <c r="Z550">
        <f>IF(OR(K195="",K195="TABLE"),"",
_xlfn.TEXTJOIN(", ",TRUE,
IF(E195&lt;&gt;"",E195&amp;K195,""),
IF(F195&lt;&gt;"",F195&amp;K195,""),
IF(G195&lt;&gt;"",G195&amp;K195,"")
))</f>
        <v/>
      </c>
      <c r="AA550">
        <f>IF(K195="","",IF(K195="TABLE","",K195))</f>
        <v/>
      </c>
      <c r="AB550">
        <f>IF(ISNUMBER(SEARCH("기존변경필요",SUBSTITUTE(TRIM(V195),CHAR(10)," "))),"",
IFERROR(
  _xlfn.XLOOKUP(AA195,'기존 end point'!B:B,'기존 end point'!B:B,,0),
""))</f>
        <v/>
      </c>
    </row>
    <row r="551">
      <c r="A551" t="n">
        <v>194</v>
      </c>
      <c r="B551" t="inlineStr">
        <is>
          <t>civil-nx/gen-nx</t>
        </is>
      </c>
      <c r="C551" t="inlineStr">
        <is>
          <t>Property</t>
        </is>
      </c>
      <c r="D551" t="inlineStr">
        <is>
          <t>Material Properties</t>
        </is>
      </c>
      <c r="E551" t="inlineStr">
        <is>
          <t>Time Dependent</t>
        </is>
      </c>
      <c r="F551" t="inlineStr">
        <is>
          <t>Creep/Shrinkage</t>
        </is>
      </c>
      <c r="H551" t="inlineStr">
        <is>
          <t>db</t>
        </is>
      </c>
      <c r="I551" t="inlineStr">
        <is>
          <t>tdmt</t>
        </is>
      </c>
      <c r="K551">
        <f>_xlfn.TEXTAFTER(L196,"/",-1)</f>
        <v/>
      </c>
      <c r="L551" t="inlineStr">
        <is>
          <t>/db/tdmt</t>
        </is>
      </c>
      <c r="M551" t="inlineStr">
        <is>
          <t>Time Dependent Material Properties - Creep/Shrinkage</t>
        </is>
      </c>
      <c r="N551" t="inlineStr">
        <is>
          <t>done</t>
        </is>
      </c>
      <c r="O551" t="inlineStr">
        <is>
          <t>done</t>
        </is>
      </c>
      <c r="P551" t="inlineStr">
        <is>
          <t>done</t>
        </is>
      </c>
      <c r="Q551" t="inlineStr">
        <is>
          <t>done</t>
        </is>
      </c>
      <c r="R551" t="inlineStr">
        <is>
          <t>done</t>
        </is>
      </c>
      <c r="S551" t="inlineStr">
        <is>
          <t>done</t>
        </is>
      </c>
      <c r="T551" t="inlineStr">
        <is>
          <t>Done</t>
        </is>
      </c>
      <c r="Z551">
        <f>IF(OR(K196="",K196="TABLE"),"",
_xlfn.TEXTJOIN(", ",TRUE,
IF(E196&lt;&gt;"",E196&amp;K196,""),
IF(F196&lt;&gt;"",F196&amp;K196,""),
IF(G196&lt;&gt;"",G196&amp;K196,"")
))</f>
        <v/>
      </c>
      <c r="AA551">
        <f>IF(K196="","",IF(K196="TABLE","",K196))</f>
        <v/>
      </c>
      <c r="AB551">
        <f>IF(ISNUMBER(SEARCH("기존변경필요",SUBSTITUTE(TRIM(V196),CHAR(10)," "))),"",
IFERROR(
  _xlfn.XLOOKUP(AA196,'기존 end point'!B:B,'기존 end point'!B:B,,0),
""))</f>
        <v/>
      </c>
    </row>
    <row r="552">
      <c r="A552" t="n">
        <v>195</v>
      </c>
      <c r="B552" t="inlineStr">
        <is>
          <t>civil-nx/gen-nx</t>
        </is>
      </c>
      <c r="C552" t="inlineStr">
        <is>
          <t>Property</t>
        </is>
      </c>
      <c r="D552" t="inlineStr">
        <is>
          <t>Material Properties</t>
        </is>
      </c>
      <c r="E552" t="inlineStr">
        <is>
          <t>Time Dependent</t>
        </is>
      </c>
      <c r="F552" t="inlineStr">
        <is>
          <t>Comp. Strength</t>
        </is>
      </c>
      <c r="H552" t="inlineStr">
        <is>
          <t>db</t>
        </is>
      </c>
      <c r="I552" t="inlineStr">
        <is>
          <t>tdme</t>
        </is>
      </c>
      <c r="K552">
        <f>_xlfn.TEXTAFTER(L197,"/",-1)</f>
        <v/>
      </c>
      <c r="L552" t="inlineStr">
        <is>
          <t>/db/tdme</t>
        </is>
      </c>
      <c r="M552" t="inlineStr">
        <is>
          <t>Time Dependent Material Properties - Compressive Strength</t>
        </is>
      </c>
      <c r="N552" t="inlineStr">
        <is>
          <t>done</t>
        </is>
      </c>
      <c r="O552" t="inlineStr">
        <is>
          <t>done</t>
        </is>
      </c>
      <c r="P552" t="inlineStr">
        <is>
          <t>done</t>
        </is>
      </c>
      <c r="Q552" t="inlineStr">
        <is>
          <t>done</t>
        </is>
      </c>
      <c r="R552" t="inlineStr">
        <is>
          <t>done</t>
        </is>
      </c>
      <c r="S552" t="inlineStr">
        <is>
          <t>done</t>
        </is>
      </c>
      <c r="T552" t="inlineStr">
        <is>
          <t>Done</t>
        </is>
      </c>
      <c r="Z552">
        <f>IF(OR(K197="",K197="TABLE"),"",
_xlfn.TEXTJOIN(", ",TRUE,
IF(E197&lt;&gt;"",E197&amp;K197,""),
IF(F197&lt;&gt;"",F197&amp;K197,""),
IF(G197&lt;&gt;"",G197&amp;K197,"")
))</f>
        <v/>
      </c>
      <c r="AA552">
        <f>IF(K197="","",IF(K197="TABLE","",K197))</f>
        <v/>
      </c>
      <c r="AB552">
        <f>IF(ISNUMBER(SEARCH("기존변경필요",SUBSTITUTE(TRIM(V197),CHAR(10)," "))),"",
IFERROR(
  _xlfn.XLOOKUP(AA197,'기존 end point'!B:B,'기존 end point'!B:B,,0),
""))</f>
        <v/>
      </c>
    </row>
    <row r="553">
      <c r="A553" t="n">
        <v>196</v>
      </c>
      <c r="B553" t="inlineStr">
        <is>
          <t>civil-nx/gen-nx</t>
        </is>
      </c>
      <c r="C553" t="inlineStr">
        <is>
          <t>Property</t>
        </is>
      </c>
      <c r="D553" t="inlineStr">
        <is>
          <t>Material Properties</t>
        </is>
      </c>
      <c r="E553" t="inlineStr">
        <is>
          <t>Change Property</t>
        </is>
      </c>
      <c r="H553" t="inlineStr">
        <is>
          <t>db</t>
        </is>
      </c>
      <c r="I553" t="inlineStr">
        <is>
          <t>edmp</t>
        </is>
      </c>
      <c r="K553">
        <f>_xlfn.TEXTAFTER(L198,"/",-1)</f>
        <v/>
      </c>
      <c r="L553" t="inlineStr">
        <is>
          <t>/db/edmp</t>
        </is>
      </c>
      <c r="M553" t="inlineStr">
        <is>
          <t>Change Property</t>
        </is>
      </c>
      <c r="N553" t="inlineStr">
        <is>
          <t>done</t>
        </is>
      </c>
      <c r="O553" t="inlineStr">
        <is>
          <t>done</t>
        </is>
      </c>
      <c r="P553" t="inlineStr">
        <is>
          <t>done</t>
        </is>
      </c>
      <c r="Q553" t="inlineStr">
        <is>
          <t>done</t>
        </is>
      </c>
      <c r="R553" t="inlineStr">
        <is>
          <t>done</t>
        </is>
      </c>
      <c r="S553" t="inlineStr">
        <is>
          <t>done</t>
        </is>
      </c>
      <c r="T553" t="inlineStr">
        <is>
          <t>Done</t>
        </is>
      </c>
      <c r="Z553">
        <f>IF(OR(K198="",K198="TABLE"),"",
_xlfn.TEXTJOIN(", ",TRUE,
IF(E198&lt;&gt;"",E198&amp;K198,""),
IF(F198&lt;&gt;"",F198&amp;K198,""),
IF(G198&lt;&gt;"",G198&amp;K198,"")
))</f>
        <v/>
      </c>
      <c r="AA553">
        <f>IF(K198="","",IF(K198="TABLE","",K198))</f>
        <v/>
      </c>
      <c r="AB553">
        <f>IF(ISNUMBER(SEARCH("기존변경필요",SUBSTITUTE(TRIM(V198),CHAR(10)," "))),"",
IFERROR(
  _xlfn.XLOOKUP(AA198,'기존 end point'!B:B,'기존 end point'!B:B,,0),
""))</f>
        <v/>
      </c>
    </row>
    <row r="554">
      <c r="A554" t="n">
        <v>197</v>
      </c>
      <c r="B554" t="inlineStr">
        <is>
          <t>civil-nx/gen-nx</t>
        </is>
      </c>
      <c r="C554" t="inlineStr">
        <is>
          <t>Property</t>
        </is>
      </c>
      <c r="D554" t="inlineStr">
        <is>
          <t>Material Properties</t>
        </is>
      </c>
      <c r="E554" t="inlineStr">
        <is>
          <t>Material Link</t>
        </is>
      </c>
      <c r="H554" t="inlineStr">
        <is>
          <t>db</t>
        </is>
      </c>
      <c r="I554" t="inlineStr">
        <is>
          <t>tmat</t>
        </is>
      </c>
      <c r="K554">
        <f>_xlfn.TEXTAFTER(L199,"/",-1)</f>
        <v/>
      </c>
      <c r="L554" t="inlineStr">
        <is>
          <t>/db/tmat</t>
        </is>
      </c>
      <c r="M554" t="inlineStr">
        <is>
          <t>Time Dependent Material Link</t>
        </is>
      </c>
      <c r="N554" t="inlineStr">
        <is>
          <t>done</t>
        </is>
      </c>
      <c r="O554" t="inlineStr">
        <is>
          <t>done</t>
        </is>
      </c>
      <c r="P554" t="inlineStr">
        <is>
          <t>done</t>
        </is>
      </c>
      <c r="Q554" t="inlineStr">
        <is>
          <t>done</t>
        </is>
      </c>
      <c r="R554" t="inlineStr">
        <is>
          <t>done</t>
        </is>
      </c>
      <c r="S554" t="inlineStr">
        <is>
          <t>done</t>
        </is>
      </c>
      <c r="T554" t="inlineStr">
        <is>
          <t>Done</t>
        </is>
      </c>
      <c r="Z554">
        <f>IF(OR(K199="",K199="TABLE"),"",
_xlfn.TEXTJOIN(", ",TRUE,
IF(E199&lt;&gt;"",E199&amp;K199,""),
IF(F199&lt;&gt;"",F199&amp;K199,""),
IF(G199&lt;&gt;"",G199&amp;K199,"")
))</f>
        <v/>
      </c>
      <c r="AA554">
        <f>IF(K199="","",IF(K199="TABLE","",K199))</f>
        <v/>
      </c>
      <c r="AB554">
        <f>IF(ISNUMBER(SEARCH("기존변경필요",SUBSTITUTE(TRIM(V199),CHAR(10)," "))),"",
IFERROR(
  _xlfn.XLOOKUP(AA199,'기존 end point'!B:B,'기존 end point'!B:B,,0),
""))</f>
        <v/>
      </c>
    </row>
    <row r="555">
      <c r="A555" t="n">
        <v>198</v>
      </c>
      <c r="B555" t="inlineStr">
        <is>
          <t>civil-nx/gen-nx</t>
        </is>
      </c>
      <c r="C555" t="inlineStr">
        <is>
          <t>Property</t>
        </is>
      </c>
      <c r="D555" t="inlineStr">
        <is>
          <t>Material Properties</t>
        </is>
      </c>
      <c r="E555" t="inlineStr">
        <is>
          <t>Plastic Material</t>
        </is>
      </c>
      <c r="H555" t="inlineStr">
        <is>
          <t>db</t>
        </is>
      </c>
      <c r="I555" t="inlineStr">
        <is>
          <t>epmt</t>
        </is>
      </c>
      <c r="K555">
        <f>_xlfn.TEXTAFTER(L200,"/",-1)</f>
        <v/>
      </c>
      <c r="L555" t="inlineStr">
        <is>
          <t>/db/epmt</t>
        </is>
      </c>
      <c r="M555" t="inlineStr">
        <is>
          <t>Plastic Material</t>
        </is>
      </c>
      <c r="N555" t="inlineStr">
        <is>
          <t>done</t>
        </is>
      </c>
      <c r="O555" t="inlineStr">
        <is>
          <t>done</t>
        </is>
      </c>
      <c r="P555" t="inlineStr">
        <is>
          <t>done</t>
        </is>
      </c>
      <c r="Q555" t="inlineStr">
        <is>
          <t>done</t>
        </is>
      </c>
      <c r="R555" t="inlineStr">
        <is>
          <t>done</t>
        </is>
      </c>
      <c r="S555" t="inlineStr">
        <is>
          <t>done</t>
        </is>
      </c>
      <c r="T555" t="inlineStr">
        <is>
          <t>Done</t>
        </is>
      </c>
      <c r="Z555">
        <f>IF(OR(K200="",K200="TABLE"),"",
_xlfn.TEXTJOIN(", ",TRUE,
IF(E200&lt;&gt;"",E200&amp;K200,""),
IF(F200&lt;&gt;"",F200&amp;K200,""),
IF(G200&lt;&gt;"",G200&amp;K200,"")
))</f>
        <v/>
      </c>
      <c r="AA555">
        <f>IF(K200="","",IF(K200="TABLE","",K200))</f>
        <v/>
      </c>
      <c r="AB555">
        <f>IF(ISNUMBER(SEARCH("기존변경필요",SUBSTITUTE(TRIM(V200),CHAR(10)," "))),"",
IFERROR(
  _xlfn.XLOOKUP(AA200,'기존 end point'!B:B,'기존 end point'!B:B,,0),
""))</f>
        <v/>
      </c>
    </row>
    <row r="556">
      <c r="A556" t="n">
        <v>199</v>
      </c>
      <c r="B556" t="inlineStr">
        <is>
          <t>civil-nx/gen-nx</t>
        </is>
      </c>
      <c r="C556" t="inlineStr">
        <is>
          <t>Property</t>
        </is>
      </c>
      <c r="D556" t="inlineStr">
        <is>
          <t>Section Properties</t>
        </is>
      </c>
      <c r="E556" t="inlineStr">
        <is>
          <t>Section Properties</t>
        </is>
      </c>
      <c r="H556" t="inlineStr">
        <is>
          <t>db</t>
        </is>
      </c>
      <c r="I556" t="inlineStr">
        <is>
          <t>sect</t>
        </is>
      </c>
      <c r="K556">
        <f>_xlfn.TEXTAFTER(L201,"/",-1)</f>
        <v/>
      </c>
      <c r="L556" t="inlineStr">
        <is>
          <t>/db/sect</t>
        </is>
      </c>
      <c r="M556" t="inlineStr">
        <is>
          <t>Section Properties - Common</t>
        </is>
      </c>
      <c r="N556" t="inlineStr">
        <is>
          <t>done</t>
        </is>
      </c>
      <c r="O556" t="inlineStr">
        <is>
          <t>done</t>
        </is>
      </c>
      <c r="P556" t="inlineStr">
        <is>
          <t>done</t>
        </is>
      </c>
      <c r="Q556" t="inlineStr">
        <is>
          <t>done</t>
        </is>
      </c>
      <c r="R556" t="inlineStr">
        <is>
          <t>done</t>
        </is>
      </c>
      <c r="S556" t="inlineStr">
        <is>
          <t>done</t>
        </is>
      </c>
      <c r="T556" t="inlineStr">
        <is>
          <t>Done</t>
        </is>
      </c>
      <c r="Z556">
        <f>IF(OR(K201="",K201="TABLE"),"",
_xlfn.TEXTJOIN(", ",TRUE,
IF(E201&lt;&gt;"",E201&amp;K201,""),
IF(F201&lt;&gt;"",F201&amp;K201,""),
IF(G201&lt;&gt;"",G201&amp;K201,"")
))</f>
        <v/>
      </c>
      <c r="AA556">
        <f>IF(K201="","",IF(K201="TABLE","",K201))</f>
        <v/>
      </c>
      <c r="AB556">
        <f>IF(ISNUMBER(SEARCH("기존변경필요",SUBSTITUTE(TRIM(V201),CHAR(10)," "))),"",
IFERROR(
  _xlfn.XLOOKUP(AA201,'기존 end point'!B:B,'기존 end point'!B:B,,0),
""))</f>
        <v/>
      </c>
    </row>
    <row r="557">
      <c r="A557" t="n">
        <v>200</v>
      </c>
      <c r="B557" t="inlineStr">
        <is>
          <t>civil-nx/gen-nx</t>
        </is>
      </c>
      <c r="C557" t="inlineStr">
        <is>
          <t>Property</t>
        </is>
      </c>
      <c r="D557" t="inlineStr">
        <is>
          <t>Section Properties</t>
        </is>
      </c>
      <c r="E557" t="inlineStr">
        <is>
          <t>Thickness</t>
        </is>
      </c>
      <c r="H557" t="inlineStr">
        <is>
          <t>db</t>
        </is>
      </c>
      <c r="I557" t="inlineStr">
        <is>
          <t>thik</t>
        </is>
      </c>
      <c r="K557">
        <f>_xlfn.TEXTAFTER(L202,"/",-1)</f>
        <v/>
      </c>
      <c r="L557" t="inlineStr">
        <is>
          <t>/db/thik</t>
        </is>
      </c>
      <c r="M557" t="inlineStr">
        <is>
          <t>Thickness - Value</t>
        </is>
      </c>
      <c r="N557" t="inlineStr">
        <is>
          <t>done</t>
        </is>
      </c>
      <c r="O557" t="inlineStr">
        <is>
          <t>done</t>
        </is>
      </c>
      <c r="P557" t="inlineStr">
        <is>
          <t>done</t>
        </is>
      </c>
      <c r="Q557" t="inlineStr">
        <is>
          <t>done</t>
        </is>
      </c>
      <c r="R557" t="inlineStr">
        <is>
          <t>done</t>
        </is>
      </c>
      <c r="S557" t="inlineStr">
        <is>
          <t>done</t>
        </is>
      </c>
      <c r="T557" t="inlineStr">
        <is>
          <t>Done</t>
        </is>
      </c>
      <c r="Z557">
        <f>IF(OR(K202="",K202="TABLE"),"",
_xlfn.TEXTJOIN(", ",TRUE,
IF(E202&lt;&gt;"",E202&amp;K202,""),
IF(F202&lt;&gt;"",F202&amp;K202,""),
IF(G202&lt;&gt;"",G202&amp;K202,"")
))</f>
        <v/>
      </c>
      <c r="AA557">
        <f>IF(K202="","",IF(K202="TABLE","",K202))</f>
        <v/>
      </c>
      <c r="AB557">
        <f>IF(ISNUMBER(SEARCH("기존변경필요",SUBSTITUTE(TRIM(V202),CHAR(10)," "))),"",
IFERROR(
  _xlfn.XLOOKUP(AA202,'기존 end point'!B:B,'기존 end point'!B:B,,0),
""))</f>
        <v/>
      </c>
    </row>
    <row r="558">
      <c r="A558" t="n">
        <v>201</v>
      </c>
      <c r="B558" t="inlineStr">
        <is>
          <t>civil-nx/gen-nx</t>
        </is>
      </c>
      <c r="C558" t="inlineStr">
        <is>
          <t>Property</t>
        </is>
      </c>
      <c r="D558" t="inlineStr">
        <is>
          <t>Section Properties</t>
        </is>
      </c>
      <c r="E558" t="inlineStr">
        <is>
          <t>Tapered Group</t>
        </is>
      </c>
      <c r="H558" t="inlineStr">
        <is>
          <t>db</t>
        </is>
      </c>
      <c r="I558" t="inlineStr">
        <is>
          <t>tsgr</t>
        </is>
      </c>
      <c r="K558">
        <f>_xlfn.TEXTAFTER(L203,"/",-1)</f>
        <v/>
      </c>
      <c r="L558" t="inlineStr">
        <is>
          <t>/db/tsgr</t>
        </is>
      </c>
      <c r="M558" t="inlineStr">
        <is>
          <t>Tapered Group</t>
        </is>
      </c>
      <c r="N558" t="inlineStr">
        <is>
          <t>done</t>
        </is>
      </c>
      <c r="O558" t="inlineStr">
        <is>
          <t>done</t>
        </is>
      </c>
      <c r="P558" t="inlineStr">
        <is>
          <t>done</t>
        </is>
      </c>
      <c r="Q558" t="inlineStr">
        <is>
          <t>done</t>
        </is>
      </c>
      <c r="R558" t="inlineStr">
        <is>
          <t>done</t>
        </is>
      </c>
      <c r="S558" t="inlineStr">
        <is>
          <t>done</t>
        </is>
      </c>
      <c r="T558" t="inlineStr">
        <is>
          <t>Done</t>
        </is>
      </c>
      <c r="Z558">
        <f>IF(OR(K203="",K203="TABLE"),"",
_xlfn.TEXTJOIN(", ",TRUE,
IF(E203&lt;&gt;"",E203&amp;K203,""),
IF(F203&lt;&gt;"",F203&amp;K203,""),
IF(G203&lt;&gt;"",G203&amp;K203,"")
))</f>
        <v/>
      </c>
      <c r="AA558">
        <f>IF(K203="","",IF(K203="TABLE","",K203))</f>
        <v/>
      </c>
      <c r="AB558">
        <f>IF(ISNUMBER(SEARCH("기존변경필요",SUBSTITUTE(TRIM(V203),CHAR(10)," "))),"",
IFERROR(
  _xlfn.XLOOKUP(AA203,'기존 end point'!B:B,'기존 end point'!B:B,,0),
""))</f>
        <v/>
      </c>
    </row>
    <row r="559">
      <c r="A559" s="26" t="n"/>
      <c r="B559" s="26" t="n"/>
      <c r="C559" s="26" t="inlineStr">
        <is>
          <t>DB_Properties</t>
        </is>
      </c>
      <c r="D559" s="26" t="inlineStr">
        <is>
          <t>DB_Properties</t>
        </is>
      </c>
      <c r="E559" s="26" t="inlineStr">
        <is>
          <t>Section Manager - Stiffness</t>
        </is>
      </c>
      <c r="F559" s="26" t="n"/>
      <c r="G559" s="26" t="n"/>
      <c r="H559" s="26" t="inlineStr">
        <is>
          <t>DB</t>
        </is>
      </c>
      <c r="I559" s="26" t="inlineStr">
        <is>
          <t>SECF</t>
        </is>
      </c>
      <c r="J559" s="26" t="n"/>
      <c r="K559" s="26" t="n"/>
      <c r="L559" s="26" t="inlineStr">
        <is>
          <t>/DB/SECF</t>
        </is>
      </c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inlineStr">
        <is>
          <t>DELETE, GET, POST, PUT</t>
        </is>
      </c>
      <c r="W559" s="26" t="n"/>
      <c r="X559" s="26" t="n"/>
    </row>
    <row r="560">
      <c r="A560" s="26" t="n"/>
      <c r="B560" s="26" t="n"/>
      <c r="C560" s="26" t="inlineStr">
        <is>
          <t>DB_Properties</t>
        </is>
      </c>
      <c r="D560" s="26" t="inlineStr">
        <is>
          <t>DB_Properties</t>
        </is>
      </c>
      <c r="E560" s="26" t="inlineStr">
        <is>
          <t>Section Manager - Reinforcements</t>
        </is>
      </c>
      <c r="F560" s="26" t="n"/>
      <c r="G560" s="26" t="n"/>
      <c r="H560" s="26" t="inlineStr">
        <is>
          <t>DB</t>
        </is>
      </c>
      <c r="I560" s="26" t="inlineStr">
        <is>
          <t>RPSC</t>
        </is>
      </c>
      <c r="J560" s="26" t="n"/>
      <c r="K560" s="26" t="n"/>
      <c r="L560" s="26" t="inlineStr">
        <is>
          <t>/DB/RPSC</t>
        </is>
      </c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inlineStr">
        <is>
          <t>DELETE, GET, POST, PUT</t>
        </is>
      </c>
      <c r="W560" s="26" t="n"/>
      <c r="X560" s="26" t="n"/>
    </row>
    <row r="561">
      <c r="A561" s="26" t="n"/>
      <c r="B561" s="26" t="n"/>
      <c r="C561" s="26" t="inlineStr">
        <is>
          <t>DB_Properties</t>
        </is>
      </c>
      <c r="D561" s="26" t="inlineStr">
        <is>
          <t>DB_Properties</t>
        </is>
      </c>
      <c r="E561" s="26" t="inlineStr">
        <is>
          <t>Section Manager - Stress Points</t>
        </is>
      </c>
      <c r="F561" s="26" t="n"/>
      <c r="G561" s="26" t="n"/>
      <c r="H561" s="26" t="inlineStr">
        <is>
          <t>DB</t>
        </is>
      </c>
      <c r="I561" s="26" t="inlineStr">
        <is>
          <t>STRPSSM</t>
        </is>
      </c>
      <c r="J561" s="26" t="n"/>
      <c r="K561" s="26" t="n"/>
      <c r="L561" s="26" t="inlineStr">
        <is>
          <t>/DB/STRPSSM</t>
        </is>
      </c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inlineStr">
        <is>
          <t>DELETE, GET, POST, PUT</t>
        </is>
      </c>
      <c r="W561" s="26" t="n"/>
      <c r="X561" s="26" t="n"/>
    </row>
    <row r="562">
      <c r="A562" s="26" t="n"/>
      <c r="B562" s="26" t="n"/>
      <c r="C562" s="26" t="inlineStr">
        <is>
          <t>DB_Properties</t>
        </is>
      </c>
      <c r="D562" s="26" t="inlineStr">
        <is>
          <t>DB_Properties</t>
        </is>
      </c>
      <c r="E562" s="26" t="inlineStr">
        <is>
          <t>Section Manager - Plate Stiffness Scale Factor</t>
        </is>
      </c>
      <c r="F562" s="26" t="n"/>
      <c r="G562" s="26" t="n"/>
      <c r="H562" s="26" t="inlineStr">
        <is>
          <t>DB</t>
        </is>
      </c>
      <c r="I562" s="26" t="inlineStr">
        <is>
          <t>PSSF</t>
        </is>
      </c>
      <c r="J562" s="26" t="n"/>
      <c r="K562" s="26" t="n"/>
      <c r="L562" s="26" t="inlineStr">
        <is>
          <t>/DB/PSSF</t>
        </is>
      </c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inlineStr">
        <is>
          <t>DELETE, GET, POST, PUT</t>
        </is>
      </c>
      <c r="W562" s="26" t="n"/>
      <c r="X562" s="26" t="n"/>
    </row>
    <row r="563">
      <c r="A563" s="26" t="n"/>
      <c r="B563" s="26" t="n"/>
      <c r="C563" s="26" t="inlineStr">
        <is>
          <t>DB_Properties</t>
        </is>
      </c>
      <c r="D563" s="26" t="inlineStr">
        <is>
          <t>DB_Properties</t>
        </is>
      </c>
      <c r="E563" s="26" t="inlineStr">
        <is>
          <t>Section Manager - Section for Resultant Forces - Virtual Beam</t>
        </is>
      </c>
      <c r="F563" s="26" t="n"/>
      <c r="G563" s="26" t="n"/>
      <c r="H563" s="26" t="inlineStr">
        <is>
          <t>DB</t>
        </is>
      </c>
      <c r="I563" s="26" t="inlineStr">
        <is>
          <t>VBEM</t>
        </is>
      </c>
      <c r="J563" s="26" t="n"/>
      <c r="K563" s="26" t="n"/>
      <c r="L563" s="26" t="inlineStr">
        <is>
          <t>/DB/VBEM</t>
        </is>
      </c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inlineStr">
        <is>
          <t>DELETE, GET, POST, PUT</t>
        </is>
      </c>
      <c r="W563" s="26" t="n"/>
      <c r="X563" s="26" t="n"/>
    </row>
    <row r="564">
      <c r="A564" s="26" t="n"/>
      <c r="B564" s="26" t="n"/>
      <c r="C564" s="26" t="inlineStr">
        <is>
          <t>DB_Properties</t>
        </is>
      </c>
      <c r="D564" s="26" t="inlineStr">
        <is>
          <t>DB_Properties</t>
        </is>
      </c>
      <c r="E564" s="26" t="inlineStr">
        <is>
          <t>Section Manager - Section for Resultant Forces - Virtual Section</t>
        </is>
      </c>
      <c r="F564" s="26" t="n"/>
      <c r="G564" s="26" t="n"/>
      <c r="H564" s="26" t="inlineStr">
        <is>
          <t>DB</t>
        </is>
      </c>
      <c r="I564" s="26" t="inlineStr">
        <is>
          <t>VSEC</t>
        </is>
      </c>
      <c r="J564" s="26" t="n"/>
      <c r="K564" s="26" t="n"/>
      <c r="L564" s="26" t="inlineStr">
        <is>
          <t>/DB/VSEC</t>
        </is>
      </c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inlineStr">
        <is>
          <t>DELETE, GET, POST, PUT</t>
        </is>
      </c>
      <c r="W564" s="26" t="n"/>
      <c r="X564" s="26" t="n"/>
    </row>
    <row r="565">
      <c r="A565" s="26" t="n"/>
      <c r="B565" s="26" t="n"/>
      <c r="C565" s="26" t="inlineStr">
        <is>
          <t>DB_Properties</t>
        </is>
      </c>
      <c r="D565" s="26" t="inlineStr">
        <is>
          <t>DB_Properties</t>
        </is>
      </c>
      <c r="E565" s="26" t="inlineStr">
        <is>
          <t>Effective Width Scale Factor</t>
        </is>
      </c>
      <c r="F565" s="26" t="n"/>
      <c r="G565" s="26" t="n"/>
      <c r="H565" s="26" t="inlineStr">
        <is>
          <t>DB</t>
        </is>
      </c>
      <c r="I565" s="26" t="inlineStr">
        <is>
          <t>EWSF</t>
        </is>
      </c>
      <c r="J565" s="26" t="n"/>
      <c r="K565" s="26" t="n"/>
      <c r="L565" s="26" t="inlineStr">
        <is>
          <t>/DB/EWSF</t>
        </is>
      </c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inlineStr">
        <is>
          <t>DELETE, GET, POST, PUT</t>
        </is>
      </c>
      <c r="W565" s="26" t="n"/>
      <c r="X565" s="26" t="n"/>
    </row>
    <row r="566">
      <c r="A566" s="26" t="n"/>
      <c r="B566" s="26" t="n"/>
      <c r="C566" s="26" t="inlineStr">
        <is>
          <t>DB_Properties</t>
        </is>
      </c>
      <c r="D566" s="26" t="inlineStr">
        <is>
          <t>DB_Properties</t>
        </is>
      </c>
      <c r="E566" s="26" t="inlineStr">
        <is>
          <t>Inelastic Hinge Control Data</t>
        </is>
      </c>
      <c r="F566" s="26" t="n"/>
      <c r="G566" s="26" t="n"/>
      <c r="H566" s="26" t="inlineStr">
        <is>
          <t>DB</t>
        </is>
      </c>
      <c r="I566" s="26" t="inlineStr">
        <is>
          <t>IEHC</t>
        </is>
      </c>
      <c r="J566" s="26" t="n"/>
      <c r="K566" s="26" t="n"/>
      <c r="L566" s="26" t="inlineStr">
        <is>
          <t>/DB/IEHC</t>
        </is>
      </c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inlineStr">
        <is>
          <t>DELETE, GET, POST, PUT</t>
        </is>
      </c>
      <c r="W566" s="26" t="n"/>
      <c r="X566" s="26" t="n"/>
    </row>
    <row r="567">
      <c r="A567" t="n">
        <v>202</v>
      </c>
      <c r="B567" t="inlineStr">
        <is>
          <t>gen-nx</t>
        </is>
      </c>
      <c r="C567" t="inlineStr">
        <is>
          <t>Property</t>
        </is>
      </c>
      <c r="D567" t="inlineStr">
        <is>
          <t>Section Properties</t>
        </is>
      </c>
      <c r="E567" t="inlineStr">
        <is>
          <t>Scale Factor</t>
        </is>
      </c>
      <c r="F567" t="inlineStr">
        <is>
          <t>Section Stiffness</t>
        </is>
      </c>
      <c r="T567" t="inlineStr">
        <is>
          <t>none</t>
        </is>
      </c>
      <c r="Z567">
        <f>IF(OR(K204="",K204="TABLE"),"",
_xlfn.TEXTJOIN(", ",TRUE,
IF(E204&lt;&gt;"",E204&amp;K204,""),
IF(F204&lt;&gt;"",F204&amp;K204,""),
IF(G204&lt;&gt;"",G204&amp;K204,"")
))</f>
        <v/>
      </c>
      <c r="AA567">
        <f>IF(K204="","",IF(K204="TABLE","",K204))</f>
        <v/>
      </c>
      <c r="AB567">
        <f>IF(ISNUMBER(SEARCH("기존변경필요",SUBSTITUTE(TRIM(V204),CHAR(10)," "))),"",
IFERROR(
  _xlfn.XLOOKUP(AA204,'기존 end point'!B:B,'기존 end point'!B:B,,0),
""))</f>
        <v/>
      </c>
    </row>
    <row r="568">
      <c r="A568" t="n">
        <v>203</v>
      </c>
      <c r="B568" t="inlineStr">
        <is>
          <t>gen-nx</t>
        </is>
      </c>
      <c r="C568" t="inlineStr">
        <is>
          <t>Property</t>
        </is>
      </c>
      <c r="D568" t="inlineStr">
        <is>
          <t>Section Properties</t>
        </is>
      </c>
      <c r="E568" t="inlineStr">
        <is>
          <t>Scale Factor</t>
        </is>
      </c>
      <c r="F568" t="inlineStr">
        <is>
          <t>Section Stiffness (by Elements)</t>
        </is>
      </c>
      <c r="T568" t="inlineStr">
        <is>
          <t>none</t>
        </is>
      </c>
      <c r="Z568">
        <f>IF(OR(K205="",K205="TABLE"),"",
_xlfn.TEXTJOIN(", ",TRUE,
IF(E205&lt;&gt;"",E205&amp;K205,""),
IF(F205&lt;&gt;"",F205&amp;K205,""),
IF(G205&lt;&gt;"",G205&amp;K205,"")
))</f>
        <v/>
      </c>
      <c r="AA568">
        <f>IF(K205="","",IF(K205="TABLE","",K205))</f>
        <v/>
      </c>
      <c r="AB568">
        <f>IF(ISNUMBER(SEARCH("기존변경필요",SUBSTITUTE(TRIM(V205),CHAR(10)," "))),"",
IFERROR(
  _xlfn.XLOOKUP(AA205,'기존 end point'!B:B,'기존 end point'!B:B,,0),
""))</f>
        <v/>
      </c>
    </row>
    <row r="569">
      <c r="A569" t="n">
        <v>204</v>
      </c>
      <c r="B569" t="inlineStr">
        <is>
          <t>gen-nx</t>
        </is>
      </c>
      <c r="C569" t="inlineStr">
        <is>
          <t>Property</t>
        </is>
      </c>
      <c r="D569" t="inlineStr">
        <is>
          <t>Section Properties</t>
        </is>
      </c>
      <c r="E569" t="inlineStr">
        <is>
          <t>Scale Factor</t>
        </is>
      </c>
      <c r="F569" t="inlineStr">
        <is>
          <t>Wall Stiffness</t>
        </is>
      </c>
      <c r="T569" t="inlineStr">
        <is>
          <t>none</t>
        </is>
      </c>
      <c r="Z569">
        <f>IF(OR(K206="",K206="TABLE"),"",
_xlfn.TEXTJOIN(", ",TRUE,
IF(E206&lt;&gt;"",E206&amp;K206,""),
IF(F206&lt;&gt;"",F206&amp;K206,""),
IF(G206&lt;&gt;"",G206&amp;K206,"")
))</f>
        <v/>
      </c>
      <c r="AA569">
        <f>IF(K206="","",IF(K206="TABLE","",K206))</f>
        <v/>
      </c>
      <c r="AB569">
        <f>IF(ISNUMBER(SEARCH("기존변경필요",SUBSTITUTE(TRIM(V206),CHAR(10)," "))),"",
IFERROR(
  _xlfn.XLOOKUP(AA206,'기존 end point'!B:B,'기존 end point'!B:B,,0),
""))</f>
        <v/>
      </c>
    </row>
    <row r="570">
      <c r="A570" t="n">
        <v>205</v>
      </c>
      <c r="B570" t="inlineStr">
        <is>
          <t>civil-nx/gen-nx</t>
        </is>
      </c>
      <c r="C570" t="inlineStr">
        <is>
          <t>Property</t>
        </is>
      </c>
      <c r="D570" t="inlineStr">
        <is>
          <t>Section Properties</t>
        </is>
      </c>
      <c r="E570" t="inlineStr">
        <is>
          <t>Scale Factor</t>
        </is>
      </c>
      <c r="F570" t="inlineStr">
        <is>
          <t>Plate Stiffness</t>
        </is>
      </c>
      <c r="T570" t="inlineStr">
        <is>
          <t>none</t>
        </is>
      </c>
      <c r="Z570">
        <f>IF(OR(K207="",K207="TABLE"),"",
_xlfn.TEXTJOIN(", ",TRUE,
IF(E207&lt;&gt;"",E207&amp;K207,""),
IF(F207&lt;&gt;"",F207&amp;K207,""),
IF(G207&lt;&gt;"",G207&amp;K207,"")
))</f>
        <v/>
      </c>
      <c r="AA570">
        <f>IF(K207="","",IF(K207="TABLE","",K207))</f>
        <v/>
      </c>
      <c r="AB570">
        <f>IF(ISNUMBER(SEARCH("기존변경필요",SUBSTITUTE(TRIM(V207),CHAR(10)," "))),"",
IFERROR(
  _xlfn.XLOOKUP(AA207,'기존 end point'!B:B,'기존 end point'!B:B,,0),
""))</f>
        <v/>
      </c>
    </row>
    <row r="571">
      <c r="A571" t="n">
        <v>206</v>
      </c>
      <c r="B571" t="inlineStr">
        <is>
          <t>civil-nx/gen-nx</t>
        </is>
      </c>
      <c r="C571" t="inlineStr">
        <is>
          <t>Property</t>
        </is>
      </c>
      <c r="D571" t="inlineStr">
        <is>
          <t>Inelastic Properties</t>
        </is>
      </c>
      <c r="E571" t="inlineStr">
        <is>
          <t>Inel. Control Data</t>
        </is>
      </c>
      <c r="F571" t="inlineStr">
        <is>
          <t>Inel. Control Data</t>
        </is>
      </c>
      <c r="T571" t="inlineStr">
        <is>
          <t>none</t>
        </is>
      </c>
      <c r="Z571">
        <f>IF(OR(K208="",K208="TABLE"),"",
_xlfn.TEXTJOIN(", ",TRUE,
IF(E208&lt;&gt;"",E208&amp;K208,""),
IF(F208&lt;&gt;"",F208&amp;K208,""),
IF(G208&lt;&gt;"",G208&amp;K208,"")
))</f>
        <v/>
      </c>
      <c r="AA571">
        <f>IF(K208="","",IF(K208="TABLE","",K208))</f>
        <v/>
      </c>
      <c r="AB571">
        <f>IF(ISNUMBER(SEARCH("기존변경필요",SUBSTITUTE(TRIM(V208),CHAR(10)," "))),"",
IFERROR(
  _xlfn.XLOOKUP(AA208,'기존 end point'!B:B,'기존 end point'!B:B,,0),
""))</f>
        <v/>
      </c>
    </row>
    <row r="572">
      <c r="A572" t="n">
        <v>207</v>
      </c>
      <c r="B572" t="inlineStr">
        <is>
          <t>civil-nx/gen-nx</t>
        </is>
      </c>
      <c r="C572" t="inlineStr">
        <is>
          <t>Property</t>
        </is>
      </c>
      <c r="D572" t="inlineStr">
        <is>
          <t>Inelastic Properties</t>
        </is>
      </c>
      <c r="E572" t="inlineStr">
        <is>
          <t>Inel. Control Data</t>
        </is>
      </c>
      <c r="F572" t="inlineStr">
        <is>
          <t>Select Inelastic Hinge Result Output(Element)</t>
        </is>
      </c>
      <c r="T572" t="inlineStr">
        <is>
          <t>none</t>
        </is>
      </c>
      <c r="Z572">
        <f>IF(OR(K209="",K209="TABLE"),"",
_xlfn.TEXTJOIN(", ",TRUE,
IF(E209&lt;&gt;"",E209&amp;K209,""),
IF(F209&lt;&gt;"",F209&amp;K209,""),
IF(G209&lt;&gt;"",G209&amp;K209,"")
))</f>
        <v/>
      </c>
      <c r="AA572">
        <f>IF(K209="","",IF(K209="TABLE","",K209))</f>
        <v/>
      </c>
      <c r="AB572">
        <f>IF(ISNUMBER(SEARCH("기존변경필요",SUBSTITUTE(TRIM(V209),CHAR(10)," "))),"",
IFERROR(
  _xlfn.XLOOKUP(AA209,'기존 end point'!B:B,'기존 end point'!B:B,,0),
""))</f>
        <v/>
      </c>
    </row>
    <row r="573">
      <c r="A573" t="n">
        <v>208</v>
      </c>
      <c r="B573" t="inlineStr">
        <is>
          <t>civil-nx/gen-nx</t>
        </is>
      </c>
      <c r="C573" t="inlineStr">
        <is>
          <t>Property</t>
        </is>
      </c>
      <c r="D573" t="inlineStr">
        <is>
          <t>Inelastic Properties</t>
        </is>
      </c>
      <c r="E573" t="inlineStr">
        <is>
          <t>Inel. Control Data</t>
        </is>
      </c>
      <c r="F573" t="inlineStr">
        <is>
          <t>Select Inelastic Hinge Result Output(General Link)</t>
        </is>
      </c>
      <c r="T573" t="inlineStr">
        <is>
          <t>none</t>
        </is>
      </c>
      <c r="Z573">
        <f>IF(OR(K210="",K210="TABLE"),"",
_xlfn.TEXTJOIN(", ",TRUE,
IF(E210&lt;&gt;"",E210&amp;K210,""),
IF(F210&lt;&gt;"",F210&amp;K210,""),
IF(G210&lt;&gt;"",G210&amp;K210,"")
))</f>
        <v/>
      </c>
      <c r="AA573">
        <f>IF(K210="","",IF(K210="TABLE","",K210))</f>
        <v/>
      </c>
      <c r="AB573">
        <f>IF(ISNUMBER(SEARCH("기존변경필요",SUBSTITUTE(TRIM(V210),CHAR(10)," "))),"",
IFERROR(
  _xlfn.XLOOKUP(AA210,'기존 end point'!B:B,'기존 end point'!B:B,,0),
""))</f>
        <v/>
      </c>
    </row>
    <row r="574">
      <c r="A574" t="n">
        <v>209</v>
      </c>
      <c r="B574" t="inlineStr">
        <is>
          <t>civil-nx/gen-nx</t>
        </is>
      </c>
      <c r="C574" t="inlineStr">
        <is>
          <t>Property</t>
        </is>
      </c>
      <c r="D574" t="inlineStr">
        <is>
          <t>Inelastic Properties</t>
        </is>
      </c>
      <c r="E574" t="inlineStr">
        <is>
          <t>Inelastic Hinge</t>
        </is>
      </c>
      <c r="F574" t="inlineStr">
        <is>
          <t>Inelastic Hinge Properties</t>
        </is>
      </c>
      <c r="T574" t="inlineStr">
        <is>
          <t>none</t>
        </is>
      </c>
      <c r="Z574">
        <f>IF(OR(K211="",K211="TABLE"),"",
_xlfn.TEXTJOIN(", ",TRUE,
IF(E211&lt;&gt;"",E211&amp;K211,""),
IF(F211&lt;&gt;"",F211&amp;K211,""),
IF(G211&lt;&gt;"",G211&amp;K211,"")
))</f>
        <v/>
      </c>
      <c r="AA574">
        <f>IF(K211="","",IF(K211="TABLE","",K211))</f>
        <v/>
      </c>
      <c r="AB574">
        <f>IF(ISNUMBER(SEARCH("기존변경필요",SUBSTITUTE(TRIM(V211),CHAR(10)," "))),"",
IFERROR(
  _xlfn.XLOOKUP(AA211,'기존 end point'!B:B,'기존 end point'!B:B,,0),
""))</f>
        <v/>
      </c>
    </row>
    <row r="575">
      <c r="A575" t="n">
        <v>210</v>
      </c>
      <c r="B575" t="inlineStr">
        <is>
          <t>civil-nx/gen-nx</t>
        </is>
      </c>
      <c r="C575" t="inlineStr">
        <is>
          <t>Property</t>
        </is>
      </c>
      <c r="D575" t="inlineStr">
        <is>
          <t>Inelastic Properties</t>
        </is>
      </c>
      <c r="E575" t="inlineStr">
        <is>
          <t>Inelastic Hinge</t>
        </is>
      </c>
      <c r="F575" t="inlineStr">
        <is>
          <t>Assign Inelastic Hinge Properties</t>
        </is>
      </c>
      <c r="H575" t="inlineStr">
        <is>
          <t>db</t>
        </is>
      </c>
      <c r="I575" t="inlineStr">
        <is>
          <t>iehg</t>
        </is>
      </c>
      <c r="K575">
        <f>_xlfn.TEXTAFTER(L212,"/",-1)</f>
        <v/>
      </c>
      <c r="L575" t="inlineStr">
        <is>
          <t>/db/iehg</t>
        </is>
      </c>
      <c r="M575" t="inlineStr">
        <is>
          <t>Assign Inelastic Hinge Properties</t>
        </is>
      </c>
      <c r="N575" t="inlineStr">
        <is>
          <t>done</t>
        </is>
      </c>
      <c r="O575" t="inlineStr">
        <is>
          <t>done</t>
        </is>
      </c>
      <c r="P575" t="inlineStr">
        <is>
          <t>done</t>
        </is>
      </c>
      <c r="Q575" t="inlineStr">
        <is>
          <t>done</t>
        </is>
      </c>
      <c r="R575" t="inlineStr">
        <is>
          <t>done</t>
        </is>
      </c>
      <c r="S575" t="inlineStr">
        <is>
          <t>done</t>
        </is>
      </c>
      <c r="T575" t="inlineStr">
        <is>
          <t>Done</t>
        </is>
      </c>
      <c r="Z575">
        <f>IF(OR(K212="",K212="TABLE"),"",
_xlfn.TEXTJOIN(", ",TRUE,
IF(E212&lt;&gt;"",E212&amp;K212,""),
IF(F212&lt;&gt;"",F212&amp;K212,""),
IF(G212&lt;&gt;"",G212&amp;K212,"")
))</f>
        <v/>
      </c>
      <c r="AA575">
        <f>IF(K212="","",IF(K212="TABLE","",K212))</f>
        <v/>
      </c>
      <c r="AB575">
        <f>IF(ISNUMBER(SEARCH("기존변경필요",SUBSTITUTE(TRIM(V212),CHAR(10)," "))),"",
IFERROR(
  _xlfn.XLOOKUP(AA212,'기존 end point'!B:B,'기존 end point'!B:B,,0),
""))</f>
        <v/>
      </c>
    </row>
    <row r="576">
      <c r="A576" t="n">
        <v>211</v>
      </c>
      <c r="B576" t="inlineStr">
        <is>
          <t>civil-nx/gen-nx</t>
        </is>
      </c>
      <c r="C576" t="inlineStr">
        <is>
          <t>Property</t>
        </is>
      </c>
      <c r="D576" t="inlineStr">
        <is>
          <t>Inelastic Properties</t>
        </is>
      </c>
      <c r="E576" t="inlineStr">
        <is>
          <t>Inelastic Material</t>
        </is>
      </c>
      <c r="F576" t="inlineStr">
        <is>
          <t>Inelastic Material Properties</t>
        </is>
      </c>
      <c r="H576" t="inlineStr">
        <is>
          <t>db</t>
        </is>
      </c>
      <c r="I576" t="inlineStr">
        <is>
          <t>fimp</t>
        </is>
      </c>
      <c r="K576">
        <f>_xlfn.TEXTAFTER(L213,"/",-1)</f>
        <v/>
      </c>
      <c r="L576" t="inlineStr">
        <is>
          <t>/db/fimp</t>
        </is>
      </c>
      <c r="M576" t="inlineStr">
        <is>
          <t>Inelastic Material Properties</t>
        </is>
      </c>
      <c r="N576" t="inlineStr">
        <is>
          <t>done</t>
        </is>
      </c>
      <c r="O576" t="inlineStr">
        <is>
          <t>done</t>
        </is>
      </c>
      <c r="P576" t="inlineStr">
        <is>
          <t>done</t>
        </is>
      </c>
      <c r="Q576" t="inlineStr">
        <is>
          <t>done</t>
        </is>
      </c>
      <c r="R576" t="inlineStr">
        <is>
          <t>done</t>
        </is>
      </c>
      <c r="S576" t="inlineStr">
        <is>
          <t>done</t>
        </is>
      </c>
      <c r="T576" t="inlineStr">
        <is>
          <t>Done</t>
        </is>
      </c>
      <c r="Z576">
        <f>IF(OR(K213="",K213="TABLE"),"",
_xlfn.TEXTJOIN(", ",TRUE,
IF(E213&lt;&gt;"",E213&amp;K213,""),
IF(F213&lt;&gt;"",F213&amp;K213,""),
IF(G213&lt;&gt;"",G213&amp;K213,"")
))</f>
        <v/>
      </c>
      <c r="AA576">
        <f>IF(K213="","",IF(K213="TABLE","",K213))</f>
        <v/>
      </c>
      <c r="AB576">
        <f>IF(ISNUMBER(SEARCH("기존변경필요",SUBSTITUTE(TRIM(V213),CHAR(10)," "))),"",
IFERROR(
  _xlfn.XLOOKUP(AA213,'기존 end point'!B:B,'기존 end point'!B:B,,0),
""))</f>
        <v/>
      </c>
    </row>
    <row r="577">
      <c r="A577" s="26" t="n"/>
      <c r="B577" s="26" t="n"/>
      <c r="C577" s="26" t="inlineStr">
        <is>
          <t>DB_Properties</t>
        </is>
      </c>
      <c r="D577" s="26" t="inlineStr">
        <is>
          <t>DB_Properties</t>
        </is>
      </c>
      <c r="E577" s="26" t="inlineStr">
        <is>
          <t>Fiber Division of Section</t>
        </is>
      </c>
      <c r="F577" s="26" t="n"/>
      <c r="G577" s="26" t="n"/>
      <c r="H577" s="26" t="inlineStr">
        <is>
          <t>DB</t>
        </is>
      </c>
      <c r="I577" s="26" t="inlineStr">
        <is>
          <t>FIBR</t>
        </is>
      </c>
      <c r="J577" s="26" t="n"/>
      <c r="K577" s="26" t="n"/>
      <c r="L577" s="26" t="inlineStr">
        <is>
          <t>/DB/FIBR</t>
        </is>
      </c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inlineStr">
        <is>
          <t>DELETE, GET, POST, PUT</t>
        </is>
      </c>
      <c r="W577" s="26" t="n"/>
      <c r="X577" s="26" t="n"/>
    </row>
    <row r="578">
      <c r="A578" s="26" t="n"/>
      <c r="B578" s="26" t="n"/>
      <c r="C578" s="26" t="inlineStr">
        <is>
          <t>DB_Properties</t>
        </is>
      </c>
      <c r="D578" s="26" t="inlineStr">
        <is>
          <t>DB_Properties</t>
        </is>
      </c>
      <c r="E578" s="26" t="inlineStr">
        <is>
          <t>Group Damping</t>
        </is>
      </c>
      <c r="F578" s="26" t="n"/>
      <c r="G578" s="26" t="n"/>
      <c r="H578" s="26" t="inlineStr">
        <is>
          <t>DB</t>
        </is>
      </c>
      <c r="I578" s="26" t="inlineStr">
        <is>
          <t>GRDP</t>
        </is>
      </c>
      <c r="J578" s="26" t="n"/>
      <c r="K578" s="26" t="n"/>
      <c r="L578" s="26" t="inlineStr">
        <is>
          <t>/DB/GRDP</t>
        </is>
      </c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inlineStr">
        <is>
          <t>DELETE, GET, POST, PUT</t>
        </is>
      </c>
      <c r="W578" s="26" t="n"/>
      <c r="X578" s="26" t="n"/>
    </row>
    <row r="579">
      <c r="A579" s="26" t="n"/>
      <c r="B579" s="26" t="n"/>
      <c r="C579" s="26" t="inlineStr">
        <is>
          <t>DB_Properties</t>
        </is>
      </c>
      <c r="D579" s="26" t="inlineStr">
        <is>
          <t>DB_Properties</t>
        </is>
      </c>
      <c r="E579" s="26" t="inlineStr">
        <is>
          <t>Element Stiffness Scale Factor</t>
        </is>
      </c>
      <c r="F579" s="26" t="n"/>
      <c r="G579" s="26" t="n"/>
      <c r="H579" s="26" t="inlineStr">
        <is>
          <t>DB</t>
        </is>
      </c>
      <c r="I579" s="26" t="inlineStr">
        <is>
          <t>ESSF</t>
        </is>
      </c>
      <c r="J579" s="26" t="n"/>
      <c r="K579" s="26" t="n"/>
      <c r="L579" s="26" t="inlineStr">
        <is>
          <t>/DB/ESSF</t>
        </is>
      </c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inlineStr">
        <is>
          <t>DELETE, GET, POST, PUT</t>
        </is>
      </c>
      <c r="W579" s="26" t="n"/>
      <c r="X579" s="26" t="n"/>
    </row>
    <row r="580">
      <c r="A580" s="26" t="n"/>
      <c r="B580" s="26" t="n"/>
      <c r="C580" s="26" t="inlineStr">
        <is>
          <t>DB_Boundary</t>
        </is>
      </c>
      <c r="D580" s="26" t="inlineStr">
        <is>
          <t>DB_Boundary</t>
        </is>
      </c>
      <c r="E580" s="26" t="inlineStr">
        <is>
          <t>Constraint Support</t>
        </is>
      </c>
      <c r="F580" s="26" t="n"/>
      <c r="G580" s="26" t="n"/>
      <c r="H580" s="26" t="inlineStr">
        <is>
          <t>DB</t>
        </is>
      </c>
      <c r="I580" s="26" t="inlineStr">
        <is>
          <t>CONS</t>
        </is>
      </c>
      <c r="J580" s="26" t="n"/>
      <c r="K580" s="26" t="n"/>
      <c r="L580" s="26" t="inlineStr">
        <is>
          <t>/DB/CONS</t>
        </is>
      </c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inlineStr">
        <is>
          <t>DELETE, GET, POST, PUT</t>
        </is>
      </c>
      <c r="W580" s="26" t="n"/>
      <c r="X580" s="26" t="n"/>
    </row>
    <row r="581">
      <c r="A581" t="n">
        <v>212</v>
      </c>
      <c r="B581" t="inlineStr">
        <is>
          <t>civil-nx/gen-nx</t>
        </is>
      </c>
      <c r="C581" t="inlineStr">
        <is>
          <t>Property</t>
        </is>
      </c>
      <c r="D581" t="inlineStr">
        <is>
          <t>Inelastic Properties</t>
        </is>
      </c>
      <c r="E581" t="inlineStr">
        <is>
          <t>Inelastic Material</t>
        </is>
      </c>
      <c r="F581" t="inlineStr">
        <is>
          <t>Fiber Division of Section (Beam-Column)</t>
        </is>
      </c>
      <c r="T581" t="inlineStr">
        <is>
          <t>none</t>
        </is>
      </c>
      <c r="Z581">
        <f>IF(OR(K214="",K214="TABLE"),"",
_xlfn.TEXTJOIN(", ",TRUE,
IF(E214&lt;&gt;"",E214&amp;K214,""),
IF(F214&lt;&gt;"",F214&amp;K214,""),
IF(G214&lt;&gt;"",G214&amp;K214,"")
))</f>
        <v/>
      </c>
      <c r="AA581">
        <f>IF(K214="","",IF(K214="TABLE","",K214))</f>
        <v/>
      </c>
      <c r="AB581">
        <f>IF(ISNUMBER(SEARCH("기존변경필요",SUBSTITUTE(TRIM(V214),CHAR(10)," "))),"",
IFERROR(
  _xlfn.XLOOKUP(AA214,'기존 end point'!B:B,'기존 end point'!B:B,,0),
""))</f>
        <v/>
      </c>
    </row>
    <row r="582">
      <c r="A582" t="n">
        <v>213</v>
      </c>
      <c r="B582" t="inlineStr">
        <is>
          <t>gen-nx</t>
        </is>
      </c>
      <c r="C582" t="inlineStr">
        <is>
          <t>Property</t>
        </is>
      </c>
      <c r="D582" t="inlineStr">
        <is>
          <t>Inelastic Properties</t>
        </is>
      </c>
      <c r="E582" t="inlineStr">
        <is>
          <t>Inelastic Material</t>
        </is>
      </c>
      <c r="F582" t="inlineStr">
        <is>
          <t>Fiber Division of Section (MCPM Wall)</t>
        </is>
      </c>
      <c r="T582" t="inlineStr">
        <is>
          <t>none</t>
        </is>
      </c>
      <c r="Z582">
        <f>IF(OR(K215="",K215="TABLE"),"",
_xlfn.TEXTJOIN(", ",TRUE,
IF(E215&lt;&gt;"",E215&amp;K215,""),
IF(F215&lt;&gt;"",F215&amp;K215,""),
IF(G215&lt;&gt;"",G215&amp;K215,"")
))</f>
        <v/>
      </c>
      <c r="AA582">
        <f>IF(K215="","",IF(K215="TABLE","",K215))</f>
        <v/>
      </c>
      <c r="AB582">
        <f>IF(ISNUMBER(SEARCH("기존변경필요",SUBSTITUTE(TRIM(V215),CHAR(10)," "))),"",
IFERROR(
  _xlfn.XLOOKUP(AA215,'기존 end point'!B:B,'기존 end point'!B:B,,0),
""))</f>
        <v/>
      </c>
    </row>
    <row r="583">
      <c r="A583" t="n">
        <v>214</v>
      </c>
      <c r="B583" t="inlineStr">
        <is>
          <t>civil-nx/gen-nx</t>
        </is>
      </c>
      <c r="C583" t="inlineStr">
        <is>
          <t>Property</t>
        </is>
      </c>
      <c r="D583" t="inlineStr">
        <is>
          <t>Damping</t>
        </is>
      </c>
      <c r="E583" t="inlineStr">
        <is>
          <t>Group Damping</t>
        </is>
      </c>
      <c r="F583" t="inlineStr">
        <is>
          <t>Element Mass &amp; Stiffness Proprtional</t>
        </is>
      </c>
      <c r="T583" t="inlineStr">
        <is>
          <t>none</t>
        </is>
      </c>
      <c r="Z583">
        <f>IF(OR(K216="",K216="TABLE"),"",
_xlfn.TEXTJOIN(", ",TRUE,
IF(E216&lt;&gt;"",E216&amp;K216,""),
IF(F216&lt;&gt;"",F216&amp;K216,""),
IF(G216&lt;&gt;"",G216&amp;K216,"")
))</f>
        <v/>
      </c>
      <c r="AA583">
        <f>IF(K216="","",IF(K216="TABLE","",K216))</f>
        <v/>
      </c>
      <c r="AB583">
        <f>IF(ISNUMBER(SEARCH("기존변경필요",SUBSTITUTE(TRIM(V216),CHAR(10)," "))),"",
IFERROR(
  _xlfn.XLOOKUP(AA216,'기존 end point'!B:B,'기존 end point'!B:B,,0),
""))</f>
        <v/>
      </c>
    </row>
    <row r="584">
      <c r="A584" t="n">
        <v>215</v>
      </c>
      <c r="B584" t="inlineStr">
        <is>
          <t>civil-nx/gen-nx</t>
        </is>
      </c>
      <c r="C584" t="inlineStr">
        <is>
          <t>Property</t>
        </is>
      </c>
      <c r="D584" t="inlineStr">
        <is>
          <t>Damping</t>
        </is>
      </c>
      <c r="E584" t="inlineStr">
        <is>
          <t>Group Damping</t>
        </is>
      </c>
      <c r="F584" t="inlineStr">
        <is>
          <t>Strain Energy Proportional</t>
        </is>
      </c>
      <c r="T584" t="inlineStr">
        <is>
          <t>none</t>
        </is>
      </c>
      <c r="Z584">
        <f>IF(OR(K217="",K217="TABLE"),"",
_xlfn.TEXTJOIN(", ",TRUE,
IF(E217&lt;&gt;"",E217&amp;K217,""),
IF(F217&lt;&gt;"",F217&amp;K217,""),
IF(G217&lt;&gt;"",G217&amp;K217,"")
))</f>
        <v/>
      </c>
      <c r="AA584">
        <f>IF(K217="","",IF(K217="TABLE","",K217))</f>
        <v/>
      </c>
      <c r="AB584">
        <f>IF(ISNUMBER(SEARCH("기존변경필요",SUBSTITUTE(TRIM(V217),CHAR(10)," "))),"",
IFERROR(
  _xlfn.XLOOKUP(AA217,'기존 end point'!B:B,'기존 end point'!B:B,,0),
""))</f>
        <v/>
      </c>
    </row>
    <row r="585">
      <c r="A585" t="n">
        <v>216</v>
      </c>
      <c r="B585" t="inlineStr">
        <is>
          <t>civil-nx/gen-nx</t>
        </is>
      </c>
      <c r="C585" t="inlineStr">
        <is>
          <t>Property</t>
        </is>
      </c>
      <c r="D585" t="inlineStr">
        <is>
          <t>Tables</t>
        </is>
      </c>
      <c r="E585" t="inlineStr">
        <is>
          <t>Property Tables</t>
        </is>
      </c>
      <c r="F585" t="inlineStr">
        <is>
          <t>Material</t>
        </is>
      </c>
      <c r="T585" t="inlineStr">
        <is>
          <t>none</t>
        </is>
      </c>
      <c r="Z585">
        <f>IF(OR(K218="",K218="TABLE"),"",
_xlfn.TEXTJOIN(", ",TRUE,
IF(E218&lt;&gt;"",E218&amp;K218,""),
IF(F218&lt;&gt;"",F218&amp;K218,""),
IF(G218&lt;&gt;"",G218&amp;K218,"")
))</f>
        <v/>
      </c>
      <c r="AA585">
        <f>IF(K218="","",IF(K218="TABLE","",K218))</f>
        <v/>
      </c>
      <c r="AB585">
        <f>IF(ISNUMBER(SEARCH("기존변경필요",SUBSTITUTE(TRIM(V218),CHAR(10)," "))),"",
IFERROR(
  _xlfn.XLOOKUP(AA218,'기존 end point'!B:B,'기존 end point'!B:B,,0),
""))</f>
        <v/>
      </c>
    </row>
    <row r="586">
      <c r="A586" t="n">
        <v>217</v>
      </c>
      <c r="B586" t="inlineStr">
        <is>
          <t>civil-nx/gen-nx</t>
        </is>
      </c>
      <c r="C586" t="inlineStr">
        <is>
          <t>Property</t>
        </is>
      </c>
      <c r="D586" t="inlineStr">
        <is>
          <t>Tables</t>
        </is>
      </c>
      <c r="E586" t="inlineStr">
        <is>
          <t>Property Tables</t>
        </is>
      </c>
      <c r="F586" t="inlineStr">
        <is>
          <t>Section</t>
        </is>
      </c>
      <c r="T586" t="inlineStr">
        <is>
          <t>none</t>
        </is>
      </c>
      <c r="Z586">
        <f>IF(OR(K219="",K219="TABLE"),"",
_xlfn.TEXTJOIN(", ",TRUE,
IF(E219&lt;&gt;"",E219&amp;K219,""),
IF(F219&lt;&gt;"",F219&amp;K219,""),
IF(G219&lt;&gt;"",G219&amp;K219,"")
))</f>
        <v/>
      </c>
      <c r="AA586">
        <f>IF(K219="","",IF(K219="TABLE","",K219))</f>
        <v/>
      </c>
      <c r="AB586">
        <f>IF(ISNUMBER(SEARCH("기존변경필요",SUBSTITUTE(TRIM(V219),CHAR(10)," "))),"",
IFERROR(
  _xlfn.XLOOKUP(AA219,'기존 end point'!B:B,'기존 end point'!B:B,,0),
""))</f>
        <v/>
      </c>
    </row>
    <row r="587">
      <c r="A587" t="n">
        <v>218</v>
      </c>
      <c r="B587" t="inlineStr">
        <is>
          <t>civil-nx/gen-nx</t>
        </is>
      </c>
      <c r="C587" t="inlineStr">
        <is>
          <t>Property</t>
        </is>
      </c>
      <c r="D587" t="inlineStr">
        <is>
          <t>Tables</t>
        </is>
      </c>
      <c r="E587" t="inlineStr">
        <is>
          <t>Property Tables</t>
        </is>
      </c>
      <c r="F587" t="inlineStr">
        <is>
          <t>Thickness</t>
        </is>
      </c>
      <c r="T587" t="inlineStr">
        <is>
          <t>none</t>
        </is>
      </c>
      <c r="Z587">
        <f>IF(OR(K220="",K220="TABLE"),"",
_xlfn.TEXTJOIN(", ",TRUE,
IF(E220&lt;&gt;"",E220&amp;K220,""),
IF(F220&lt;&gt;"",F220&amp;K220,""),
IF(G220&lt;&gt;"",G220&amp;K220,"")
))</f>
        <v/>
      </c>
      <c r="AA587">
        <f>IF(K220="","",IF(K220="TABLE","",K220))</f>
        <v/>
      </c>
      <c r="AB587">
        <f>IF(ISNUMBER(SEARCH("기존변경필요",SUBSTITUTE(TRIM(V220),CHAR(10)," "))),"",
IFERROR(
  _xlfn.XLOOKUP(AA220,'기존 end point'!B:B,'기존 end point'!B:B,,0),
""))</f>
        <v/>
      </c>
    </row>
    <row r="588">
      <c r="A588" t="n">
        <v>219</v>
      </c>
      <c r="B588" t="inlineStr">
        <is>
          <t>civil-nx/gen-nx</t>
        </is>
      </c>
      <c r="C588" t="inlineStr">
        <is>
          <t>Property</t>
        </is>
      </c>
      <c r="D588" t="inlineStr">
        <is>
          <t>Tables</t>
        </is>
      </c>
      <c r="E588" t="inlineStr">
        <is>
          <t>Property Tables</t>
        </is>
      </c>
      <c r="F588" t="inlineStr">
        <is>
          <t>Change Element Dependent Material Property</t>
        </is>
      </c>
      <c r="T588" t="inlineStr">
        <is>
          <t>none</t>
        </is>
      </c>
      <c r="Z588">
        <f>IF(OR(K221="",K221="TABLE"),"",
_xlfn.TEXTJOIN(", ",TRUE,
IF(E221&lt;&gt;"",E221&amp;K221,""),
IF(F221&lt;&gt;"",F221&amp;K221,""),
IF(G221&lt;&gt;"",G221&amp;K221,"")
))</f>
        <v/>
      </c>
      <c r="AA588">
        <f>IF(K221="","",IF(K221="TABLE","",K221))</f>
        <v/>
      </c>
      <c r="AB588">
        <f>IF(ISNUMBER(SEARCH("기존변경필요",SUBSTITUTE(TRIM(V221),CHAR(10)," "))),"",
IFERROR(
  _xlfn.XLOOKUP(AA221,'기존 end point'!B:B,'기존 end point'!B:B,,0),
""))</f>
        <v/>
      </c>
    </row>
    <row r="589">
      <c r="A589" t="n">
        <v>220</v>
      </c>
      <c r="B589" t="inlineStr">
        <is>
          <t>civil-nx/gen-nx</t>
        </is>
      </c>
      <c r="C589" t="inlineStr">
        <is>
          <t>Property</t>
        </is>
      </c>
      <c r="D589" t="inlineStr">
        <is>
          <t>Tables</t>
        </is>
      </c>
      <c r="E589" t="inlineStr">
        <is>
          <t>Property Tables</t>
        </is>
      </c>
      <c r="F589" t="inlineStr">
        <is>
          <t>Inelastic Hinge</t>
        </is>
      </c>
      <c r="T589" t="inlineStr">
        <is>
          <t>none</t>
        </is>
      </c>
      <c r="Z589">
        <f>IF(OR(K222="",K222="TABLE"),"",
_xlfn.TEXTJOIN(", ",TRUE,
IF(E222&lt;&gt;"",E222&amp;K222,""),
IF(F222&lt;&gt;"",F222&amp;K222,""),
IF(G222&lt;&gt;"",G222&amp;K222,"")
))</f>
        <v/>
      </c>
      <c r="AA589">
        <f>IF(K222="","",IF(K222="TABLE","",K222))</f>
        <v/>
      </c>
      <c r="AB589">
        <f>IF(ISNUMBER(SEARCH("기존변경필요",SUBSTITUTE(TRIM(V222),CHAR(10)," "))),"",
IFERROR(
  _xlfn.XLOOKUP(AA222,'기존 end point'!B:B,'기존 end point'!B:B,,0),
""))</f>
        <v/>
      </c>
    </row>
    <row r="590">
      <c r="A590" t="n">
        <v>221</v>
      </c>
      <c r="B590" t="inlineStr">
        <is>
          <t>gen-nx</t>
        </is>
      </c>
      <c r="C590" t="inlineStr">
        <is>
          <t>Property</t>
        </is>
      </c>
      <c r="D590" t="inlineStr">
        <is>
          <t>Tables</t>
        </is>
      </c>
      <c r="E590" t="inlineStr">
        <is>
          <t>Property Tables</t>
        </is>
      </c>
      <c r="F590" t="inlineStr">
        <is>
          <t>Section Stiffness Scale Factor</t>
        </is>
      </c>
      <c r="T590" t="inlineStr">
        <is>
          <t>none</t>
        </is>
      </c>
      <c r="Z590">
        <f>IF(OR(K223="",K223="TABLE"),"",
_xlfn.TEXTJOIN(", ",TRUE,
IF(E223&lt;&gt;"",E223&amp;K223,""),
IF(F223&lt;&gt;"",F223&amp;K223,""),
IF(G223&lt;&gt;"",G223&amp;K223,"")
))</f>
        <v/>
      </c>
      <c r="AA590">
        <f>IF(K223="","",IF(K223="TABLE","",K223))</f>
        <v/>
      </c>
      <c r="AB590">
        <f>IF(ISNUMBER(SEARCH("기존변경필요",SUBSTITUTE(TRIM(V223),CHAR(10)," "))),"",
IFERROR(
  _xlfn.XLOOKUP(AA223,'기존 end point'!B:B,'기존 end point'!B:B,,0),
""))</f>
        <v/>
      </c>
    </row>
    <row r="591">
      <c r="A591" t="n">
        <v>222</v>
      </c>
      <c r="B591" t="inlineStr">
        <is>
          <t>gen-nx</t>
        </is>
      </c>
      <c r="C591" t="inlineStr">
        <is>
          <t>Property</t>
        </is>
      </c>
      <c r="D591" t="inlineStr">
        <is>
          <t>Tables</t>
        </is>
      </c>
      <c r="E591" t="inlineStr">
        <is>
          <t>Property Tables</t>
        </is>
      </c>
      <c r="F591" t="inlineStr">
        <is>
          <t>Section Stiffness Scale Factor (by Elements)</t>
        </is>
      </c>
      <c r="T591" t="inlineStr">
        <is>
          <t>none</t>
        </is>
      </c>
      <c r="Z591">
        <f>IF(OR(K224="",K224="TABLE"),"",
_xlfn.TEXTJOIN(", ",TRUE,
IF(E224&lt;&gt;"",E224&amp;K224,""),
IF(F224&lt;&gt;"",F224&amp;K224,""),
IF(G224&lt;&gt;"",G224&amp;K224,"")
))</f>
        <v/>
      </c>
      <c r="AA591">
        <f>IF(K224="","",IF(K224="TABLE","",K224))</f>
        <v/>
      </c>
      <c r="AB591">
        <f>IF(ISNUMBER(SEARCH("기존변경필요",SUBSTITUTE(TRIM(V224),CHAR(10)," "))),"",
IFERROR(
  _xlfn.XLOOKUP(AA224,'기존 end point'!B:B,'기존 end point'!B:B,,0),
""))</f>
        <v/>
      </c>
    </row>
    <row r="592">
      <c r="A592" t="n">
        <v>223</v>
      </c>
      <c r="B592" t="inlineStr">
        <is>
          <t>gen-nx</t>
        </is>
      </c>
      <c r="C592" t="inlineStr">
        <is>
          <t>Property</t>
        </is>
      </c>
      <c r="D592" t="inlineStr">
        <is>
          <t>Tables</t>
        </is>
      </c>
      <c r="E592" t="inlineStr">
        <is>
          <t>Property Tables</t>
        </is>
      </c>
      <c r="F592" t="inlineStr">
        <is>
          <t>Wall Stiffness Scale Factor</t>
        </is>
      </c>
      <c r="T592" t="inlineStr">
        <is>
          <t>none</t>
        </is>
      </c>
      <c r="Z592">
        <f>IF(OR(K225="",K225="TABLE"),"",
_xlfn.TEXTJOIN(", ",TRUE,
IF(E225&lt;&gt;"",E225&amp;K225,""),
IF(F225&lt;&gt;"",F225&amp;K225,""),
IF(G225&lt;&gt;"",G225&amp;K225,"")
))</f>
        <v/>
      </c>
      <c r="AA592">
        <f>IF(K225="","",IF(K225="TABLE","",K225))</f>
        <v/>
      </c>
      <c r="AB592">
        <f>IF(ISNUMBER(SEARCH("기존변경필요",SUBSTITUTE(TRIM(V225),CHAR(10)," "))),"",
IFERROR(
  _xlfn.XLOOKUP(AA225,'기존 end point'!B:B,'기존 end point'!B:B,,0),
""))</f>
        <v/>
      </c>
    </row>
    <row r="593">
      <c r="A593" t="n">
        <v>224</v>
      </c>
      <c r="B593" t="inlineStr">
        <is>
          <t>gen-nx</t>
        </is>
      </c>
      <c r="C593" t="inlineStr">
        <is>
          <t>Property</t>
        </is>
      </c>
      <c r="D593" t="inlineStr">
        <is>
          <t>Tables</t>
        </is>
      </c>
      <c r="E593" t="inlineStr">
        <is>
          <t>Property Tables</t>
        </is>
      </c>
      <c r="F593" t="inlineStr">
        <is>
          <t>Plate Stiffness Scale Factor</t>
        </is>
      </c>
      <c r="T593" t="inlineStr">
        <is>
          <t>none</t>
        </is>
      </c>
      <c r="Z593">
        <f>IF(OR(K226="",K226="TABLE"),"",
_xlfn.TEXTJOIN(", ",TRUE,
IF(E226&lt;&gt;"",E226&amp;K226,""),
IF(F226&lt;&gt;"",F226&amp;K226,""),
IF(G226&lt;&gt;"",G226&amp;K226,"")
))</f>
        <v/>
      </c>
      <c r="AA593">
        <f>IF(K226="","",IF(K226="TABLE","",K226))</f>
        <v/>
      </c>
      <c r="AB593">
        <f>IF(ISNUMBER(SEARCH("기존변경필요",SUBSTITUTE(TRIM(V226),CHAR(10)," "))),"",
IFERROR(
  _xlfn.XLOOKUP(AA226,'기존 end point'!B:B,'기존 end point'!B:B,,0),
""))</f>
        <v/>
      </c>
    </row>
    <row r="594">
      <c r="A594" t="n">
        <v>225</v>
      </c>
      <c r="B594" t="inlineStr">
        <is>
          <t>civil-nx/gen-nx</t>
        </is>
      </c>
      <c r="C594" t="inlineStr">
        <is>
          <t>Boundary</t>
        </is>
      </c>
      <c r="D594" t="inlineStr">
        <is>
          <t>Supports</t>
        </is>
      </c>
      <c r="E594" t="inlineStr">
        <is>
          <t>Define Supports</t>
        </is>
      </c>
      <c r="T594" t="inlineStr">
        <is>
          <t>none</t>
        </is>
      </c>
      <c r="Z594">
        <f>IF(OR(K227="",K227="TABLE"),"",
_xlfn.TEXTJOIN(", ",TRUE,
IF(E227&lt;&gt;"",E227&amp;K227,""),
IF(F227&lt;&gt;"",F227&amp;K227,""),
IF(G227&lt;&gt;"",G227&amp;K227,"")
))</f>
        <v/>
      </c>
      <c r="AA594">
        <f>IF(K227="","",IF(K227="TABLE","",K227))</f>
        <v/>
      </c>
      <c r="AB594">
        <f>IF(ISNUMBER(SEARCH("기존변경필요",SUBSTITUTE(TRIM(V227),CHAR(10)," "))),"",
IFERROR(
  _xlfn.XLOOKUP(AA227,'기존 end point'!B:B,'기존 end point'!B:B,,0),
""))</f>
        <v/>
      </c>
    </row>
    <row r="595">
      <c r="A595" t="n">
        <v>226</v>
      </c>
      <c r="B595" t="inlineStr">
        <is>
          <t>civil-nx/gen-nx</t>
        </is>
      </c>
      <c r="C595" t="inlineStr">
        <is>
          <t>Boundary</t>
        </is>
      </c>
      <c r="D595" t="inlineStr">
        <is>
          <t>Springs</t>
        </is>
      </c>
      <c r="E595" t="inlineStr">
        <is>
          <t>Point Spring</t>
        </is>
      </c>
      <c r="H595" t="inlineStr">
        <is>
          <t>db</t>
        </is>
      </c>
      <c r="I595" t="inlineStr">
        <is>
          <t>nspr</t>
        </is>
      </c>
      <c r="K595">
        <f>_xlfn.TEXTAFTER(L228,"/",-1)</f>
        <v/>
      </c>
      <c r="L595" t="inlineStr">
        <is>
          <t>/db/nspr</t>
        </is>
      </c>
      <c r="M595" t="inlineStr">
        <is>
          <t>Point Spring</t>
        </is>
      </c>
      <c r="N595" t="inlineStr">
        <is>
          <t>done</t>
        </is>
      </c>
      <c r="O595" t="inlineStr">
        <is>
          <t>done</t>
        </is>
      </c>
      <c r="P595" t="inlineStr">
        <is>
          <t>done</t>
        </is>
      </c>
      <c r="Q595" t="inlineStr">
        <is>
          <t>done</t>
        </is>
      </c>
      <c r="R595" t="inlineStr">
        <is>
          <t>done</t>
        </is>
      </c>
      <c r="S595" t="inlineStr">
        <is>
          <t>done</t>
        </is>
      </c>
      <c r="T595" t="inlineStr">
        <is>
          <t>Done</t>
        </is>
      </c>
      <c r="Z595">
        <f>IF(OR(K228="",K228="TABLE"),"",
_xlfn.TEXTJOIN(", ",TRUE,
IF(E228&lt;&gt;"",E228&amp;K228,""),
IF(F228&lt;&gt;"",F228&amp;K228,""),
IF(G228&lt;&gt;"",G228&amp;K228,"")
))</f>
        <v/>
      </c>
      <c r="AA595">
        <f>IF(K228="","",IF(K228="TABLE","",K228))</f>
        <v/>
      </c>
      <c r="AB595">
        <f>IF(ISNUMBER(SEARCH("기존변경필요",SUBSTITUTE(TRIM(V228),CHAR(10)," "))),"",
IFERROR(
  _xlfn.XLOOKUP(AA228,'기존 end point'!B:B,'기존 end point'!B:B,,0),
""))</f>
        <v/>
      </c>
    </row>
    <row r="596">
      <c r="A596" t="n">
        <v>227</v>
      </c>
      <c r="B596" t="inlineStr">
        <is>
          <t>civil-nx/gen-nx</t>
        </is>
      </c>
      <c r="C596" t="inlineStr">
        <is>
          <t>Boundary</t>
        </is>
      </c>
      <c r="D596" t="inlineStr">
        <is>
          <t>Springs</t>
        </is>
      </c>
      <c r="E596" t="inlineStr">
        <is>
          <t>General Spring</t>
        </is>
      </c>
      <c r="F596" t="inlineStr">
        <is>
          <t>Define General Spring Type</t>
        </is>
      </c>
      <c r="H596" t="inlineStr">
        <is>
          <t>db</t>
        </is>
      </c>
      <c r="I596" t="inlineStr">
        <is>
          <t>gstp</t>
        </is>
      </c>
      <c r="K596">
        <f>_xlfn.TEXTAFTER(L229,"/",-1)</f>
        <v/>
      </c>
      <c r="L596" t="inlineStr">
        <is>
          <t>/db/gstp</t>
        </is>
      </c>
      <c r="M596" t="inlineStr">
        <is>
          <t>Define General Spring Type</t>
        </is>
      </c>
      <c r="N596" t="inlineStr">
        <is>
          <t>done</t>
        </is>
      </c>
      <c r="O596" t="inlineStr">
        <is>
          <t>done</t>
        </is>
      </c>
      <c r="P596" t="inlineStr">
        <is>
          <t>done</t>
        </is>
      </c>
      <c r="Q596" t="inlineStr">
        <is>
          <t>done</t>
        </is>
      </c>
      <c r="R596" t="inlineStr">
        <is>
          <t>done</t>
        </is>
      </c>
      <c r="S596" t="inlineStr">
        <is>
          <t>done</t>
        </is>
      </c>
      <c r="T596" t="inlineStr">
        <is>
          <t>Done</t>
        </is>
      </c>
      <c r="Z596">
        <f>IF(OR(K229="",K229="TABLE"),"",
_xlfn.TEXTJOIN(", ",TRUE,
IF(E229&lt;&gt;"",E229&amp;K229,""),
IF(F229&lt;&gt;"",F229&amp;K229,""),
IF(G229&lt;&gt;"",G229&amp;K229,"")
))</f>
        <v/>
      </c>
      <c r="AA596">
        <f>IF(K229="","",IF(K229="TABLE","",K229))</f>
        <v/>
      </c>
      <c r="AB596">
        <f>IF(ISNUMBER(SEARCH("기존변경필요",SUBSTITUTE(TRIM(V229),CHAR(10)," "))),"",
IFERROR(
  _xlfn.XLOOKUP(AA229,'기존 end point'!B:B,'기존 end point'!B:B,,0),
""))</f>
        <v/>
      </c>
    </row>
    <row r="597">
      <c r="A597" t="n">
        <v>228</v>
      </c>
      <c r="B597" t="inlineStr">
        <is>
          <t>civil-nx/gen-nx</t>
        </is>
      </c>
      <c r="C597" t="inlineStr">
        <is>
          <t>Boundary</t>
        </is>
      </c>
      <c r="D597" t="inlineStr">
        <is>
          <t>Springs</t>
        </is>
      </c>
      <c r="E597" t="inlineStr">
        <is>
          <t>General Spring</t>
        </is>
      </c>
      <c r="F597" t="inlineStr">
        <is>
          <t>General Spring Supports</t>
        </is>
      </c>
      <c r="H597" t="inlineStr">
        <is>
          <t>db</t>
        </is>
      </c>
      <c r="I597" t="inlineStr">
        <is>
          <t>gspr</t>
        </is>
      </c>
      <c r="K597">
        <f>_xlfn.TEXTAFTER(L230,"/",-1)</f>
        <v/>
      </c>
      <c r="L597" t="inlineStr">
        <is>
          <t>/db/gspr</t>
        </is>
      </c>
      <c r="M597" t="inlineStr">
        <is>
          <t>Assign General Spring Supports</t>
        </is>
      </c>
      <c r="N597" t="inlineStr">
        <is>
          <t>done</t>
        </is>
      </c>
      <c r="O597" t="inlineStr">
        <is>
          <t>done</t>
        </is>
      </c>
      <c r="P597" t="inlineStr">
        <is>
          <t>done</t>
        </is>
      </c>
      <c r="Q597" t="inlineStr">
        <is>
          <t>done</t>
        </is>
      </c>
      <c r="R597" t="inlineStr">
        <is>
          <t>done</t>
        </is>
      </c>
      <c r="S597" t="inlineStr">
        <is>
          <t>done</t>
        </is>
      </c>
      <c r="T597" t="inlineStr">
        <is>
          <t>Done</t>
        </is>
      </c>
      <c r="Z597">
        <f>IF(OR(K230="",K230="TABLE"),"",
_xlfn.TEXTJOIN(", ",TRUE,
IF(E230&lt;&gt;"",E230&amp;K230,""),
IF(F230&lt;&gt;"",F230&amp;K230,""),
IF(G230&lt;&gt;"",G230&amp;K230,"")
))</f>
        <v/>
      </c>
      <c r="AA597">
        <f>IF(K230="","",IF(K230="TABLE","",K230))</f>
        <v/>
      </c>
      <c r="AB597">
        <f>IF(ISNUMBER(SEARCH("기존변경필요",SUBSTITUTE(TRIM(V230),CHAR(10)," "))),"",
IFERROR(
  _xlfn.XLOOKUP(AA230,'기존 end point'!B:B,'기존 end point'!B:B,,0),
""))</f>
        <v/>
      </c>
    </row>
    <row r="598">
      <c r="A598" t="n">
        <v>229</v>
      </c>
      <c r="B598" t="inlineStr">
        <is>
          <t>civil-nx/gen-nx</t>
        </is>
      </c>
      <c r="C598" t="inlineStr">
        <is>
          <t>Boundary</t>
        </is>
      </c>
      <c r="D598" t="inlineStr">
        <is>
          <t>Springs</t>
        </is>
      </c>
      <c r="E598" t="inlineStr">
        <is>
          <t>Surface Spring</t>
        </is>
      </c>
      <c r="H598" t="inlineStr">
        <is>
          <t>db</t>
        </is>
      </c>
      <c r="I598" t="inlineStr">
        <is>
          <t>ssps</t>
        </is>
      </c>
      <c r="K598">
        <f>_xlfn.TEXTAFTER(L231,"/",-1)</f>
        <v/>
      </c>
      <c r="L598" t="inlineStr">
        <is>
          <t>/db/ssps</t>
        </is>
      </c>
      <c r="M598" t="inlineStr">
        <is>
          <t>Surface Spring</t>
        </is>
      </c>
      <c r="N598" t="inlineStr">
        <is>
          <t>done</t>
        </is>
      </c>
      <c r="O598" t="inlineStr">
        <is>
          <t>done</t>
        </is>
      </c>
      <c r="P598" t="inlineStr">
        <is>
          <t>done</t>
        </is>
      </c>
      <c r="Q598" t="inlineStr">
        <is>
          <t>done</t>
        </is>
      </c>
      <c r="R598" t="inlineStr">
        <is>
          <t>done</t>
        </is>
      </c>
      <c r="S598" t="inlineStr">
        <is>
          <t>done</t>
        </is>
      </c>
      <c r="T598" t="inlineStr">
        <is>
          <t>Done</t>
        </is>
      </c>
      <c r="Z598">
        <f>IF(OR(K231="",K231="TABLE"),"",
_xlfn.TEXTJOIN(", ",TRUE,
IF(E231&lt;&gt;"",E231&amp;K231,""),
IF(F231&lt;&gt;"",F231&amp;K231,""),
IF(G231&lt;&gt;"",G231&amp;K231,"")
))</f>
        <v/>
      </c>
      <c r="AA598">
        <f>IF(K231="","",IF(K231="TABLE","",K231))</f>
        <v/>
      </c>
      <c r="AB598">
        <f>IF(ISNUMBER(SEARCH("기존변경필요",SUBSTITUTE(TRIM(V231),CHAR(10)," "))),"",
IFERROR(
  _xlfn.XLOOKUP(AA231,'기존 end point'!B:B,'기존 end point'!B:B,,0),
""))</f>
        <v/>
      </c>
    </row>
    <row r="599">
      <c r="A599" t="n">
        <v>230</v>
      </c>
      <c r="B599" t="inlineStr">
        <is>
          <t>civil-nx/gen-nx</t>
        </is>
      </c>
      <c r="C599" t="inlineStr">
        <is>
          <t>Boundary</t>
        </is>
      </c>
      <c r="D599" t="inlineStr">
        <is>
          <t>Links</t>
        </is>
      </c>
      <c r="E599" t="inlineStr">
        <is>
          <t>Elastic Link</t>
        </is>
      </c>
      <c r="H599" t="inlineStr">
        <is>
          <t>db</t>
        </is>
      </c>
      <c r="I599" t="inlineStr">
        <is>
          <t>elnk</t>
        </is>
      </c>
      <c r="K599">
        <f>_xlfn.TEXTAFTER(L232,"/",-1)</f>
        <v/>
      </c>
      <c r="L599" t="inlineStr">
        <is>
          <t>/db/elnk</t>
        </is>
      </c>
      <c r="M599" t="inlineStr">
        <is>
          <t>Elastic Link</t>
        </is>
      </c>
      <c r="N599" t="inlineStr">
        <is>
          <t>done</t>
        </is>
      </c>
      <c r="O599" t="inlineStr">
        <is>
          <t>done</t>
        </is>
      </c>
      <c r="P599" t="inlineStr">
        <is>
          <t>done</t>
        </is>
      </c>
      <c r="Q599" t="inlineStr">
        <is>
          <t>done</t>
        </is>
      </c>
      <c r="R599" t="inlineStr">
        <is>
          <t>done</t>
        </is>
      </c>
      <c r="S599" t="inlineStr">
        <is>
          <t>done</t>
        </is>
      </c>
      <c r="T599" t="inlineStr">
        <is>
          <t>Done</t>
        </is>
      </c>
      <c r="Z599">
        <f>IF(OR(K232="",K232="TABLE"),"",
_xlfn.TEXTJOIN(", ",TRUE,
IF(E232&lt;&gt;"",E232&amp;K232,""),
IF(F232&lt;&gt;"",F232&amp;K232,""),
IF(G232&lt;&gt;"",G232&amp;K232,"")
))</f>
        <v/>
      </c>
      <c r="AA599">
        <f>IF(K232="","",IF(K232="TABLE","",K232))</f>
        <v/>
      </c>
      <c r="AB599">
        <f>IF(ISNUMBER(SEARCH("기존변경필요",SUBSTITUTE(TRIM(V232),CHAR(10)," "))),"",
IFERROR(
  _xlfn.XLOOKUP(AA232,'기존 end point'!B:B,'기존 end point'!B:B,,0),
""))</f>
        <v/>
      </c>
    </row>
    <row r="600">
      <c r="A600" t="n">
        <v>231</v>
      </c>
      <c r="B600" t="inlineStr">
        <is>
          <t>civil-nx/gen-nx</t>
        </is>
      </c>
      <c r="C600" t="inlineStr">
        <is>
          <t>Boundary</t>
        </is>
      </c>
      <c r="D600" t="inlineStr">
        <is>
          <t>Links</t>
        </is>
      </c>
      <c r="E600" t="inlineStr">
        <is>
          <t>Rigid Link</t>
        </is>
      </c>
      <c r="H600" t="inlineStr">
        <is>
          <t>db</t>
        </is>
      </c>
      <c r="I600" t="inlineStr">
        <is>
          <t>rigd</t>
        </is>
      </c>
      <c r="K600">
        <f>_xlfn.TEXTAFTER(L233,"/",-1)</f>
        <v/>
      </c>
      <c r="L600" t="inlineStr">
        <is>
          <t>/db/rigd</t>
        </is>
      </c>
      <c r="M600" t="inlineStr">
        <is>
          <t>Rigid Link</t>
        </is>
      </c>
      <c r="N600" t="inlineStr">
        <is>
          <t>done</t>
        </is>
      </c>
      <c r="O600" t="inlineStr">
        <is>
          <t>done</t>
        </is>
      </c>
      <c r="P600" t="inlineStr">
        <is>
          <t>done</t>
        </is>
      </c>
      <c r="Q600" t="inlineStr">
        <is>
          <t>done</t>
        </is>
      </c>
      <c r="R600" t="inlineStr">
        <is>
          <t>done</t>
        </is>
      </c>
      <c r="S600" t="inlineStr">
        <is>
          <t>done</t>
        </is>
      </c>
      <c r="T600" t="inlineStr">
        <is>
          <t>Done</t>
        </is>
      </c>
      <c r="Z600">
        <f>IF(OR(K233="",K233="TABLE"),"",
_xlfn.TEXTJOIN(", ",TRUE,
IF(E233&lt;&gt;"",E233&amp;K233,""),
IF(F233&lt;&gt;"",F233&amp;K233,""),
IF(G233&lt;&gt;"",G233&amp;K233,"")
))</f>
        <v/>
      </c>
      <c r="AA600">
        <f>IF(K233="","",IF(K233="TABLE","",K233))</f>
        <v/>
      </c>
      <c r="AB600">
        <f>IF(ISNUMBER(SEARCH("기존변경필요",SUBSTITUTE(TRIM(V233),CHAR(10)," "))),"",
IFERROR(
  _xlfn.XLOOKUP(AA233,'기존 end point'!B:B,'기존 end point'!B:B,,0),
""))</f>
        <v/>
      </c>
    </row>
    <row r="601">
      <c r="A601" t="n">
        <v>232</v>
      </c>
      <c r="B601" t="inlineStr">
        <is>
          <t>civil-nx/gen-nx</t>
        </is>
      </c>
      <c r="C601" t="inlineStr">
        <is>
          <t>Boundary</t>
        </is>
      </c>
      <c r="D601" t="inlineStr">
        <is>
          <t>Links</t>
        </is>
      </c>
      <c r="E601" t="inlineStr">
        <is>
          <t>General Link</t>
        </is>
      </c>
      <c r="F601" t="inlineStr">
        <is>
          <t>General Link Properties</t>
        </is>
      </c>
      <c r="H601" t="inlineStr">
        <is>
          <t>db</t>
        </is>
      </c>
      <c r="I601" t="inlineStr">
        <is>
          <t>nllp</t>
        </is>
      </c>
      <c r="K601">
        <f>_xlfn.TEXTAFTER(L234,"/",-1)</f>
        <v/>
      </c>
      <c r="L601" t="inlineStr">
        <is>
          <t>/db/nllp</t>
        </is>
      </c>
      <c r="M601" t="inlineStr">
        <is>
          <t>General Link Properties</t>
        </is>
      </c>
      <c r="N601" t="inlineStr">
        <is>
          <t>done</t>
        </is>
      </c>
      <c r="O601" t="inlineStr">
        <is>
          <t>done</t>
        </is>
      </c>
      <c r="P601" t="inlineStr">
        <is>
          <t>done</t>
        </is>
      </c>
      <c r="Q601" t="inlineStr">
        <is>
          <t>done</t>
        </is>
      </c>
      <c r="R601" t="inlineStr">
        <is>
          <t>done</t>
        </is>
      </c>
      <c r="S601" t="inlineStr">
        <is>
          <t>done</t>
        </is>
      </c>
      <c r="T601" t="inlineStr">
        <is>
          <t>Done</t>
        </is>
      </c>
      <c r="Z601">
        <f>IF(OR(K234="",K234="TABLE"),"",
_xlfn.TEXTJOIN(", ",TRUE,
IF(E234&lt;&gt;"",E234&amp;K234,""),
IF(F234&lt;&gt;"",F234&amp;K234,""),
IF(G234&lt;&gt;"",G234&amp;K234,"")
))</f>
        <v/>
      </c>
      <c r="AA601">
        <f>IF(K234="","",IF(K234="TABLE","",K234))</f>
        <v/>
      </c>
      <c r="AB601">
        <f>IF(ISNUMBER(SEARCH("기존변경필요",SUBSTITUTE(TRIM(V234),CHAR(10)," "))),"",
IFERROR(
  _xlfn.XLOOKUP(AA234,'기존 end point'!B:B,'기존 end point'!B:B,,0),
""))</f>
        <v/>
      </c>
    </row>
    <row r="602">
      <c r="A602" t="n">
        <v>233</v>
      </c>
      <c r="B602" t="inlineStr">
        <is>
          <t>civil-nx/gen-nx</t>
        </is>
      </c>
      <c r="C602" t="inlineStr">
        <is>
          <t>Boundary</t>
        </is>
      </c>
      <c r="D602" t="inlineStr">
        <is>
          <t>Links</t>
        </is>
      </c>
      <c r="E602" t="inlineStr">
        <is>
          <t>General Link</t>
        </is>
      </c>
      <c r="F602" t="inlineStr">
        <is>
          <t>General Link</t>
        </is>
      </c>
      <c r="H602" t="inlineStr">
        <is>
          <t>db</t>
        </is>
      </c>
      <c r="I602" t="inlineStr">
        <is>
          <t>nlnk</t>
        </is>
      </c>
      <c r="K602">
        <f>_xlfn.TEXTAFTER(L235,"/",-1)</f>
        <v/>
      </c>
      <c r="L602" t="inlineStr">
        <is>
          <t>/db/nlnk</t>
        </is>
      </c>
      <c r="M602" t="inlineStr">
        <is>
          <t>General Link</t>
        </is>
      </c>
      <c r="N602" t="inlineStr">
        <is>
          <t>done</t>
        </is>
      </c>
      <c r="O602" t="inlineStr">
        <is>
          <t>done</t>
        </is>
      </c>
      <c r="P602" t="inlineStr">
        <is>
          <t>done</t>
        </is>
      </c>
      <c r="Q602" t="inlineStr">
        <is>
          <t>done</t>
        </is>
      </c>
      <c r="R602" t="inlineStr">
        <is>
          <t>done</t>
        </is>
      </c>
      <c r="S602" t="inlineStr">
        <is>
          <t>done</t>
        </is>
      </c>
      <c r="T602" t="inlineStr">
        <is>
          <t>Done</t>
        </is>
      </c>
      <c r="Z602">
        <f>IF(OR(K235="",K235="TABLE"),"",
_xlfn.TEXTJOIN(", ",TRUE,
IF(E235&lt;&gt;"",E235&amp;K235,""),
IF(F235&lt;&gt;"",F235&amp;K235,""),
IF(G235&lt;&gt;"",G235&amp;K235,"")
))</f>
        <v/>
      </c>
      <c r="AA602">
        <f>IF(K235="","",IF(K235="TABLE","",K235))</f>
        <v/>
      </c>
      <c r="AB602">
        <f>IF(ISNUMBER(SEARCH("기존변경필요",SUBSTITUTE(TRIM(V235),CHAR(10)," "))),"",
IFERROR(
  _xlfn.XLOOKUP(AA235,'기존 end point'!B:B,'기존 end point'!B:B,,0),
""))</f>
        <v/>
      </c>
    </row>
    <row r="603">
      <c r="A603" t="n">
        <v>234</v>
      </c>
      <c r="B603" t="inlineStr">
        <is>
          <t>civil-nx/gen-nx</t>
        </is>
      </c>
      <c r="C603" t="inlineStr">
        <is>
          <t>Boundary</t>
        </is>
      </c>
      <c r="D603" t="inlineStr">
        <is>
          <t>Links</t>
        </is>
      </c>
      <c r="E603" t="inlineStr">
        <is>
          <t>General Link</t>
        </is>
      </c>
      <c r="F603" t="inlineStr">
        <is>
          <t>Change General Link Property</t>
        </is>
      </c>
      <c r="H603" t="inlineStr">
        <is>
          <t>db</t>
        </is>
      </c>
      <c r="I603" t="inlineStr">
        <is>
          <t>cglp</t>
        </is>
      </c>
      <c r="K603">
        <f>_xlfn.TEXTAFTER(L236,"/",-1)</f>
        <v/>
      </c>
      <c r="L603" t="inlineStr">
        <is>
          <t>/db/cglp</t>
        </is>
      </c>
      <c r="M603" t="inlineStr">
        <is>
          <t>Change General Link Property</t>
        </is>
      </c>
      <c r="N603" t="inlineStr">
        <is>
          <t>done</t>
        </is>
      </c>
      <c r="O603" t="inlineStr">
        <is>
          <t>done</t>
        </is>
      </c>
      <c r="P603" t="inlineStr">
        <is>
          <t>done</t>
        </is>
      </c>
      <c r="Q603" t="inlineStr">
        <is>
          <t>done</t>
        </is>
      </c>
      <c r="R603" t="inlineStr">
        <is>
          <t>done</t>
        </is>
      </c>
      <c r="S603" t="inlineStr">
        <is>
          <t>done</t>
        </is>
      </c>
      <c r="T603" t="inlineStr">
        <is>
          <t>Done</t>
        </is>
      </c>
      <c r="Z603">
        <f>IF(OR(K236="",K236="TABLE"),"",
_xlfn.TEXTJOIN(", ",TRUE,
IF(E236&lt;&gt;"",E236&amp;K236,""),
IF(F236&lt;&gt;"",F236&amp;K236,""),
IF(G236&lt;&gt;"",G236&amp;K236,"")
))</f>
        <v/>
      </c>
      <c r="AA603">
        <f>IF(K236="","",IF(K236="TABLE","",K236))</f>
        <v/>
      </c>
      <c r="AB603">
        <f>IF(ISNUMBER(SEARCH("기존변경필요",SUBSTITUTE(TRIM(V236),CHAR(10)," "))),"",
IFERROR(
  _xlfn.XLOOKUP(AA236,'기존 end point'!B:B,'기존 end point'!B:B,,0),
""))</f>
        <v/>
      </c>
    </row>
    <row r="604">
      <c r="A604" t="n">
        <v>235</v>
      </c>
      <c r="B604" t="inlineStr">
        <is>
          <t>civil-nx/gen-nx</t>
        </is>
      </c>
      <c r="C604" t="inlineStr">
        <is>
          <t>Boundary</t>
        </is>
      </c>
      <c r="D604" t="inlineStr">
        <is>
          <t>Release/Offset</t>
        </is>
      </c>
      <c r="E604" t="inlineStr">
        <is>
          <t>Beam End Release</t>
        </is>
      </c>
      <c r="H604" t="inlineStr">
        <is>
          <t>db</t>
        </is>
      </c>
      <c r="I604" t="inlineStr">
        <is>
          <t>frls</t>
        </is>
      </c>
      <c r="K604">
        <f>_xlfn.TEXTAFTER(L237,"/",-1)</f>
        <v/>
      </c>
      <c r="L604" t="inlineStr">
        <is>
          <t>/db/frls</t>
        </is>
      </c>
      <c r="M604" t="inlineStr">
        <is>
          <t>Beam End Release</t>
        </is>
      </c>
      <c r="N604" t="inlineStr">
        <is>
          <t>done</t>
        </is>
      </c>
      <c r="O604" t="inlineStr">
        <is>
          <t>done</t>
        </is>
      </c>
      <c r="P604" t="inlineStr">
        <is>
          <t>done</t>
        </is>
      </c>
      <c r="Q604" t="inlineStr">
        <is>
          <t>done</t>
        </is>
      </c>
      <c r="R604" t="inlineStr">
        <is>
          <t>done</t>
        </is>
      </c>
      <c r="S604" t="inlineStr">
        <is>
          <t>done</t>
        </is>
      </c>
      <c r="T604" t="inlineStr">
        <is>
          <t>Done</t>
        </is>
      </c>
      <c r="Z604">
        <f>IF(OR(K237="",K237="TABLE"),"",
_xlfn.TEXTJOIN(", ",TRUE,
IF(E237&lt;&gt;"",E237&amp;K237,""),
IF(F237&lt;&gt;"",F237&amp;K237,""),
IF(G237&lt;&gt;"",G237&amp;K237,"")
))</f>
        <v/>
      </c>
      <c r="AA604">
        <f>IF(K237="","",IF(K237="TABLE","",K237))</f>
        <v/>
      </c>
      <c r="AB604">
        <f>IF(ISNUMBER(SEARCH("기존변경필요",SUBSTITUTE(TRIM(V237),CHAR(10)," "))),"",
IFERROR(
  _xlfn.XLOOKUP(AA237,'기존 end point'!B:B,'기존 end point'!B:B,,0),
""))</f>
        <v/>
      </c>
    </row>
    <row r="605">
      <c r="A605" t="n">
        <v>236</v>
      </c>
      <c r="B605" t="inlineStr">
        <is>
          <t>civil-nx/gen-nx</t>
        </is>
      </c>
      <c r="C605" t="inlineStr">
        <is>
          <t>Boundary</t>
        </is>
      </c>
      <c r="D605" t="inlineStr">
        <is>
          <t>Release/Offset</t>
        </is>
      </c>
      <c r="E605" t="inlineStr">
        <is>
          <t>Beam End Offsets</t>
        </is>
      </c>
      <c r="H605" t="inlineStr">
        <is>
          <t>db</t>
        </is>
      </c>
      <c r="I605" t="inlineStr">
        <is>
          <t>offs</t>
        </is>
      </c>
      <c r="K605">
        <f>_xlfn.TEXTAFTER(L238,"/",-1)</f>
        <v/>
      </c>
      <c r="L605" t="inlineStr">
        <is>
          <t>/db/offs</t>
        </is>
      </c>
      <c r="M605" t="inlineStr">
        <is>
          <t>Beam End Offsets</t>
        </is>
      </c>
      <c r="N605" t="inlineStr">
        <is>
          <t>done</t>
        </is>
      </c>
      <c r="O605" t="inlineStr">
        <is>
          <t>done</t>
        </is>
      </c>
      <c r="P605" t="inlineStr">
        <is>
          <t>done</t>
        </is>
      </c>
      <c r="Q605" t="inlineStr">
        <is>
          <t>done</t>
        </is>
      </c>
      <c r="R605" t="inlineStr">
        <is>
          <t>done</t>
        </is>
      </c>
      <c r="S605" t="inlineStr">
        <is>
          <t>done</t>
        </is>
      </c>
      <c r="T605" t="inlineStr">
        <is>
          <t>Done</t>
        </is>
      </c>
      <c r="Z605">
        <f>IF(OR(K238="",K238="TABLE"),"",
_xlfn.TEXTJOIN(", ",TRUE,
IF(E238&lt;&gt;"",E238&amp;K238,""),
IF(F238&lt;&gt;"",F238&amp;K238,""),
IF(G238&lt;&gt;"",G238&amp;K238,"")
))</f>
        <v/>
      </c>
      <c r="AA605">
        <f>IF(K238="","",IF(K238="TABLE","",K238))</f>
        <v/>
      </c>
      <c r="AB605">
        <f>IF(ISNUMBER(SEARCH("기존변경필요",SUBSTITUTE(TRIM(V238),CHAR(10)," "))),"",
IFERROR(
  _xlfn.XLOOKUP(AA238,'기존 end point'!B:B,'기존 end point'!B:B,,0),
""))</f>
        <v/>
      </c>
    </row>
    <row r="606" hidden="1">
      <c r="A606" t="n">
        <v>237</v>
      </c>
      <c r="B606" t="inlineStr">
        <is>
          <t>civil-nx/gen-nx</t>
        </is>
      </c>
      <c r="C606" t="inlineStr">
        <is>
          <t>Boundary</t>
        </is>
      </c>
      <c r="D606" t="inlineStr">
        <is>
          <t>Release/Offset</t>
        </is>
      </c>
      <c r="E606" t="inlineStr">
        <is>
          <t>Plate End Release</t>
        </is>
      </c>
      <c r="H606" t="inlineStr">
        <is>
          <t>db</t>
        </is>
      </c>
      <c r="I606" t="inlineStr">
        <is>
          <t>prls</t>
        </is>
      </c>
      <c r="K606">
        <f>_xlfn.TEXTAFTER(L239,"/",-1)</f>
        <v/>
      </c>
      <c r="L606" t="inlineStr">
        <is>
          <t>/db/prls</t>
        </is>
      </c>
      <c r="M606" t="inlineStr">
        <is>
          <t>Plate End Release</t>
        </is>
      </c>
      <c r="N606" t="inlineStr">
        <is>
          <t>done</t>
        </is>
      </c>
      <c r="O606" t="inlineStr">
        <is>
          <t>done</t>
        </is>
      </c>
      <c r="P606" t="inlineStr">
        <is>
          <t>done</t>
        </is>
      </c>
      <c r="Q606" t="inlineStr">
        <is>
          <t>done</t>
        </is>
      </c>
      <c r="R606" t="inlineStr">
        <is>
          <t>done</t>
        </is>
      </c>
      <c r="S606" t="inlineStr">
        <is>
          <t>done</t>
        </is>
      </c>
      <c r="T606" t="inlineStr">
        <is>
          <t>Done</t>
        </is>
      </c>
      <c r="Z606">
        <f>IF(OR(K239="",K239="TABLE"),"",
_xlfn.TEXTJOIN(", ",TRUE,
IF(E239&lt;&gt;"",E239&amp;K239,""),
IF(F239&lt;&gt;"",F239&amp;K239,""),
IF(G239&lt;&gt;"",G239&amp;K239,"")
))</f>
        <v/>
      </c>
      <c r="AA606">
        <f>IF(K239="","",IF(K239="TABLE","",K239))</f>
        <v/>
      </c>
      <c r="AB606">
        <f>IF(ISNUMBER(SEARCH("기존변경필요",SUBSTITUTE(TRIM(V239),CHAR(10)," "))),"",
IFERROR(
  _xlfn.XLOOKUP(AA239,'기존 end point'!B:B,'기존 end point'!B:B,,0),
""))</f>
        <v/>
      </c>
    </row>
    <row r="607" hidden="1">
      <c r="A607" t="n">
        <v>238</v>
      </c>
      <c r="B607" t="inlineStr">
        <is>
          <t>civil-nx/gen-nx</t>
        </is>
      </c>
      <c r="C607" t="inlineStr">
        <is>
          <t>Boundary</t>
        </is>
      </c>
      <c r="D607" t="inlineStr">
        <is>
          <t>Advanced</t>
        </is>
      </c>
      <c r="E607" t="inlineStr">
        <is>
          <t>Force-Deformation Function</t>
        </is>
      </c>
      <c r="H607" t="inlineStr">
        <is>
          <t>db</t>
        </is>
      </c>
      <c r="I607" t="inlineStr">
        <is>
          <t>mlfc</t>
        </is>
      </c>
      <c r="K607">
        <f>_xlfn.TEXTAFTER(L240,"/",-1)</f>
        <v/>
      </c>
      <c r="L607" t="inlineStr">
        <is>
          <t>/db/mlfc</t>
        </is>
      </c>
      <c r="M607" t="inlineStr">
        <is>
          <t>Force-Deformation Function</t>
        </is>
      </c>
      <c r="N607" t="inlineStr">
        <is>
          <t>done</t>
        </is>
      </c>
      <c r="O607" t="inlineStr">
        <is>
          <t>done</t>
        </is>
      </c>
      <c r="P607" t="inlineStr">
        <is>
          <t>done</t>
        </is>
      </c>
      <c r="Q607" t="inlineStr">
        <is>
          <t>done</t>
        </is>
      </c>
      <c r="R607" t="inlineStr">
        <is>
          <t>done</t>
        </is>
      </c>
      <c r="S607" t="inlineStr">
        <is>
          <t>done</t>
        </is>
      </c>
      <c r="T607" t="inlineStr">
        <is>
          <t>Done</t>
        </is>
      </c>
      <c r="Z607">
        <f>IF(OR(K240="",K240="TABLE"),"",
_xlfn.TEXTJOIN(", ",TRUE,
IF(E240&lt;&gt;"",E240&amp;K240,""),
IF(F240&lt;&gt;"",F240&amp;K240,""),
IF(G240&lt;&gt;"",G240&amp;K240,"")
))</f>
        <v/>
      </c>
      <c r="AA607">
        <f>IF(K240="","",IF(K240="TABLE","",K240))</f>
        <v/>
      </c>
      <c r="AB607">
        <f>IF(ISNUMBER(SEARCH("기존변경필요",SUBSTITUTE(TRIM(V240),CHAR(10)," "))),"",
IFERROR(
  _xlfn.XLOOKUP(AA240,'기존 end point'!B:B,'기존 end point'!B:B,,0),
""))</f>
        <v/>
      </c>
    </row>
    <row r="608">
      <c r="A608" t="n">
        <v>239</v>
      </c>
      <c r="B608" t="inlineStr">
        <is>
          <t>gen-nx</t>
        </is>
      </c>
      <c r="C608" t="inlineStr">
        <is>
          <t>Boundary</t>
        </is>
      </c>
      <c r="D608" t="inlineStr">
        <is>
          <t>Advanced</t>
        </is>
      </c>
      <c r="E608" t="inlineStr">
        <is>
          <t>Pile Spring</t>
        </is>
      </c>
      <c r="T608" t="inlineStr">
        <is>
          <t>none</t>
        </is>
      </c>
      <c r="Z608">
        <f>IF(OR(K241="",K241="TABLE"),"",
_xlfn.TEXTJOIN(", ",TRUE,
IF(E241&lt;&gt;"",E241&amp;K241,""),
IF(F241&lt;&gt;"",F241&amp;K241,""),
IF(G241&lt;&gt;"",G241&amp;K241,"")
))</f>
        <v/>
      </c>
      <c r="AA608">
        <f>IF(K241="","",IF(K241="TABLE","",K241))</f>
        <v/>
      </c>
      <c r="AB608">
        <f>IF(ISNUMBER(SEARCH("기존변경필요",SUBSTITUTE(TRIM(V241),CHAR(10)," "))),"",
IFERROR(
  _xlfn.XLOOKUP(AA241,'기존 end point'!B:B,'기존 end point'!B:B,,0),
""))</f>
        <v/>
      </c>
    </row>
    <row r="609">
      <c r="A609" t="n">
        <v>240</v>
      </c>
      <c r="B609" t="inlineStr">
        <is>
          <t>civil-nx/gen-nx</t>
        </is>
      </c>
      <c r="C609" t="inlineStr">
        <is>
          <t>Boundary</t>
        </is>
      </c>
      <c r="D609" t="inlineStr">
        <is>
          <t>Advanced</t>
        </is>
      </c>
      <c r="E609" t="inlineStr">
        <is>
          <t>Seismic Device</t>
        </is>
      </c>
      <c r="F609" t="inlineStr">
        <is>
          <t>Viscous Damper/Oil Damper</t>
        </is>
      </c>
      <c r="H609" t="inlineStr">
        <is>
          <t>db</t>
        </is>
      </c>
      <c r="I609" t="inlineStr">
        <is>
          <t>sdvi</t>
        </is>
      </c>
      <c r="K609">
        <f>_xlfn.TEXTAFTER(L242,"/",-1)</f>
        <v/>
      </c>
      <c r="L609" t="inlineStr">
        <is>
          <t>/db/sdvi</t>
        </is>
      </c>
      <c r="M609" t="inlineStr">
        <is>
          <t>Seismic Device - Viscous Damper/Oil Damper</t>
        </is>
      </c>
      <c r="N609" t="inlineStr">
        <is>
          <t>done</t>
        </is>
      </c>
      <c r="O609" t="inlineStr">
        <is>
          <t>done</t>
        </is>
      </c>
      <c r="P609" t="inlineStr">
        <is>
          <t>done</t>
        </is>
      </c>
      <c r="Q609" t="inlineStr">
        <is>
          <t>done</t>
        </is>
      </c>
      <c r="R609" t="inlineStr">
        <is>
          <t>done</t>
        </is>
      </c>
      <c r="S609" t="inlineStr">
        <is>
          <t>done</t>
        </is>
      </c>
      <c r="T609" t="inlineStr">
        <is>
          <t>Done</t>
        </is>
      </c>
      <c r="Z609">
        <f>IF(OR(K242="",K242="TABLE"),"",
_xlfn.TEXTJOIN(", ",TRUE,
IF(E242&lt;&gt;"",E242&amp;K242,""),
IF(F242&lt;&gt;"",F242&amp;K242,""),
IF(G242&lt;&gt;"",G242&amp;K242,"")
))</f>
        <v/>
      </c>
      <c r="AA609">
        <f>IF(K242="","",IF(K242="TABLE","",K242))</f>
        <v/>
      </c>
      <c r="AB609">
        <f>IF(ISNUMBER(SEARCH("기존변경필요",SUBSTITUTE(TRIM(V242),CHAR(10)," "))),"",
IFERROR(
  _xlfn.XLOOKUP(AA242,'기존 end point'!B:B,'기존 end point'!B:B,,0),
""))</f>
        <v/>
      </c>
    </row>
    <row r="610" hidden="1">
      <c r="A610" t="n">
        <v>241</v>
      </c>
      <c r="B610" t="inlineStr">
        <is>
          <t>civil-nx/gen-nx</t>
        </is>
      </c>
      <c r="C610" t="inlineStr">
        <is>
          <t>Boundary</t>
        </is>
      </c>
      <c r="D610" t="inlineStr">
        <is>
          <t>Advanced</t>
        </is>
      </c>
      <c r="E610" t="inlineStr">
        <is>
          <t>Seismic Device</t>
        </is>
      </c>
      <c r="F610" t="inlineStr">
        <is>
          <t>Viscoelastic Damper</t>
        </is>
      </c>
      <c r="H610" t="inlineStr">
        <is>
          <t>db</t>
        </is>
      </c>
      <c r="I610" t="inlineStr">
        <is>
          <t>sdve</t>
        </is>
      </c>
      <c r="K610">
        <f>_xlfn.TEXTAFTER(L243,"/",-1)</f>
        <v/>
      </c>
      <c r="L610" t="inlineStr">
        <is>
          <t>/db/sdve</t>
        </is>
      </c>
      <c r="M610" t="inlineStr">
        <is>
          <t>Seismic Device - Viscoelastic Damper</t>
        </is>
      </c>
      <c r="N610" t="inlineStr">
        <is>
          <t>done</t>
        </is>
      </c>
      <c r="O610" t="inlineStr">
        <is>
          <t>done</t>
        </is>
      </c>
      <c r="P610" t="inlineStr">
        <is>
          <t>done</t>
        </is>
      </c>
      <c r="Q610" t="inlineStr">
        <is>
          <t>done</t>
        </is>
      </c>
      <c r="R610" t="inlineStr">
        <is>
          <t>done</t>
        </is>
      </c>
      <c r="S610" t="inlineStr">
        <is>
          <t>done</t>
        </is>
      </c>
      <c r="T610" t="inlineStr">
        <is>
          <t>Done</t>
        </is>
      </c>
      <c r="Z610">
        <f>IF(OR(K243="",K243="TABLE"),"",
_xlfn.TEXTJOIN(", ",TRUE,
IF(E243&lt;&gt;"",E243&amp;K243,""),
IF(F243&lt;&gt;"",F243&amp;K243,""),
IF(G243&lt;&gt;"",G243&amp;K243,"")
))</f>
        <v/>
      </c>
      <c r="AA610">
        <f>IF(K243="","",IF(K243="TABLE","",K243))</f>
        <v/>
      </c>
      <c r="AB610">
        <f>IF(ISNUMBER(SEARCH("기존변경필요",SUBSTITUTE(TRIM(V243),CHAR(10)," "))),"",
IFERROR(
  _xlfn.XLOOKUP(AA243,'기존 end point'!B:B,'기존 end point'!B:B,,0),
""))</f>
        <v/>
      </c>
    </row>
    <row r="611">
      <c r="A611" t="n">
        <v>242</v>
      </c>
      <c r="B611" t="inlineStr">
        <is>
          <t>civil-nx/gen-nx</t>
        </is>
      </c>
      <c r="C611" t="inlineStr">
        <is>
          <t>Boundary</t>
        </is>
      </c>
      <c r="D611" t="inlineStr">
        <is>
          <t>Advanced</t>
        </is>
      </c>
      <c r="E611" t="inlineStr">
        <is>
          <t>Seismic Device</t>
        </is>
      </c>
      <c r="F611" t="inlineStr">
        <is>
          <t>Steel Damper</t>
        </is>
      </c>
      <c r="H611" t="inlineStr">
        <is>
          <t>db</t>
        </is>
      </c>
      <c r="I611" t="inlineStr">
        <is>
          <t>sdst</t>
        </is>
      </c>
      <c r="K611">
        <f>_xlfn.TEXTAFTER(L244,"/",-1)</f>
        <v/>
      </c>
      <c r="L611" t="inlineStr">
        <is>
          <t>/db/sdst</t>
        </is>
      </c>
      <c r="M611" t="inlineStr">
        <is>
          <t>Seismic Device - Steel Damper</t>
        </is>
      </c>
      <c r="N611" t="inlineStr">
        <is>
          <t>done</t>
        </is>
      </c>
      <c r="O611" t="inlineStr">
        <is>
          <t>done</t>
        </is>
      </c>
      <c r="P611" t="inlineStr">
        <is>
          <t>done</t>
        </is>
      </c>
      <c r="Q611" t="inlineStr">
        <is>
          <t>done</t>
        </is>
      </c>
      <c r="R611" t="inlineStr">
        <is>
          <t>done</t>
        </is>
      </c>
      <c r="S611" t="inlineStr">
        <is>
          <t>done</t>
        </is>
      </c>
      <c r="T611" t="inlineStr">
        <is>
          <t>Done</t>
        </is>
      </c>
      <c r="Z611">
        <f>IF(OR(K244="",K244="TABLE"),"",
_xlfn.TEXTJOIN(", ",TRUE,
IF(E244&lt;&gt;"",E244&amp;K244,""),
IF(F244&lt;&gt;"",F244&amp;K244,""),
IF(G244&lt;&gt;"",G244&amp;K244,"")
))</f>
        <v/>
      </c>
      <c r="AA611">
        <f>IF(K244="","",IF(K244="TABLE","",K244))</f>
        <v/>
      </c>
      <c r="AB611">
        <f>IF(ISNUMBER(SEARCH("기존변경필요",SUBSTITUTE(TRIM(V244),CHAR(10)," "))),"",
IFERROR(
  _xlfn.XLOOKUP(AA244,'기존 end point'!B:B,'기존 end point'!B:B,,0),
""))</f>
        <v/>
      </c>
    </row>
    <row r="612">
      <c r="A612" t="n">
        <v>243</v>
      </c>
      <c r="B612" t="inlineStr">
        <is>
          <t>civil-nx/gen-nx</t>
        </is>
      </c>
      <c r="C612" t="inlineStr">
        <is>
          <t>Boundary</t>
        </is>
      </c>
      <c r="D612" t="inlineStr">
        <is>
          <t>Advanced</t>
        </is>
      </c>
      <c r="E612" t="inlineStr">
        <is>
          <t>Seismic Device</t>
        </is>
      </c>
      <c r="F612" t="inlineStr">
        <is>
          <t>Hysteretic Isolator(MSS)</t>
        </is>
      </c>
      <c r="H612" t="inlineStr">
        <is>
          <t>db</t>
        </is>
      </c>
      <c r="I612" t="inlineStr">
        <is>
          <t>sdhy</t>
        </is>
      </c>
      <c r="K612">
        <f>_xlfn.TEXTAFTER(L245,"/",-1)</f>
        <v/>
      </c>
      <c r="L612" t="inlineStr">
        <is>
          <t>/db/sdhy</t>
        </is>
      </c>
      <c r="M612" t="inlineStr">
        <is>
          <t>Seismic Device - Hysteretic Isolator(MSS)</t>
        </is>
      </c>
      <c r="N612" t="inlineStr">
        <is>
          <t>done</t>
        </is>
      </c>
      <c r="O612" t="inlineStr">
        <is>
          <t>done</t>
        </is>
      </c>
      <c r="P612" t="inlineStr">
        <is>
          <t>done</t>
        </is>
      </c>
      <c r="Q612" t="inlineStr">
        <is>
          <t>done</t>
        </is>
      </c>
      <c r="R612" t="inlineStr">
        <is>
          <t>done</t>
        </is>
      </c>
      <c r="S612" t="inlineStr">
        <is>
          <t>done</t>
        </is>
      </c>
      <c r="T612" t="inlineStr">
        <is>
          <t>Done</t>
        </is>
      </c>
      <c r="Z612">
        <f>IF(OR(K245="",K245="TABLE"),"",
_xlfn.TEXTJOIN(", ",TRUE,
IF(E245&lt;&gt;"",E245&amp;K245,""),
IF(F245&lt;&gt;"",F245&amp;K245,""),
IF(G245&lt;&gt;"",G245&amp;K245,"")
))</f>
        <v/>
      </c>
      <c r="AA612">
        <f>IF(K245="","",IF(K245="TABLE","",K245))</f>
        <v/>
      </c>
      <c r="AB612">
        <f>IF(ISNUMBER(SEARCH("기존변경필요",SUBSTITUTE(TRIM(V245),CHAR(10)," "))),"",
IFERROR(
  _xlfn.XLOOKUP(AA245,'기존 end point'!B:B,'기존 end point'!B:B,,0),
""))</f>
        <v/>
      </c>
    </row>
    <row r="613">
      <c r="A613" t="n">
        <v>244</v>
      </c>
      <c r="B613" t="inlineStr">
        <is>
          <t>civil-nx/gen-nx</t>
        </is>
      </c>
      <c r="C613" t="inlineStr">
        <is>
          <t>Boundary</t>
        </is>
      </c>
      <c r="D613" t="inlineStr">
        <is>
          <t>Advanced</t>
        </is>
      </c>
      <c r="E613" t="inlineStr">
        <is>
          <t>Seismic Device</t>
        </is>
      </c>
      <c r="F613" t="inlineStr">
        <is>
          <t>Isolator(MSS)</t>
        </is>
      </c>
      <c r="H613" t="inlineStr">
        <is>
          <t>db</t>
        </is>
      </c>
      <c r="I613" t="inlineStr">
        <is>
          <t>sdis</t>
        </is>
      </c>
      <c r="K613">
        <f>_xlfn.TEXTAFTER(L246,"/",-1)</f>
        <v/>
      </c>
      <c r="L613" t="inlineStr">
        <is>
          <t>/db/sdis</t>
        </is>
      </c>
      <c r="M613" t="inlineStr">
        <is>
          <t>Seismic Device - Isolator(MSS)</t>
        </is>
      </c>
      <c r="N613" t="inlineStr">
        <is>
          <t>done</t>
        </is>
      </c>
      <c r="O613" t="inlineStr">
        <is>
          <t>done</t>
        </is>
      </c>
      <c r="P613" t="inlineStr">
        <is>
          <t>done</t>
        </is>
      </c>
      <c r="Q613" t="inlineStr">
        <is>
          <t>done</t>
        </is>
      </c>
      <c r="R613" t="inlineStr">
        <is>
          <t>done</t>
        </is>
      </c>
      <c r="S613" t="inlineStr">
        <is>
          <t>done</t>
        </is>
      </c>
      <c r="T613" t="inlineStr">
        <is>
          <t>Done</t>
        </is>
      </c>
      <c r="Z613">
        <f>IF(OR(K246="",K246="TABLE"),"",
_xlfn.TEXTJOIN(", ",TRUE,
IF(E246&lt;&gt;"",E246&amp;K246,""),
IF(F246&lt;&gt;"",F246&amp;K246,""),
IF(G246&lt;&gt;"",G246&amp;K246,"")
))</f>
        <v/>
      </c>
      <c r="AA613">
        <f>IF(K246="","",IF(K246="TABLE","",K246))</f>
        <v/>
      </c>
      <c r="AB613">
        <f>IF(ISNUMBER(SEARCH("기존변경필요",SUBSTITUTE(TRIM(V246),CHAR(10)," "))),"",
IFERROR(
  _xlfn.XLOOKUP(AA246,'기존 end point'!B:B,'기존 end point'!B:B,,0),
""))</f>
        <v/>
      </c>
    </row>
    <row r="614">
      <c r="A614" t="n">
        <v>245</v>
      </c>
      <c r="B614" t="inlineStr">
        <is>
          <t>civil-nx/gen-nx</t>
        </is>
      </c>
      <c r="C614" t="inlineStr">
        <is>
          <t>Boundary</t>
        </is>
      </c>
      <c r="D614" t="inlineStr">
        <is>
          <t>Advanced</t>
        </is>
      </c>
      <c r="E614" t="inlineStr">
        <is>
          <t>Seismic Device</t>
        </is>
      </c>
      <c r="F614" t="inlineStr">
        <is>
          <t>Seismic Control Device DB Manager</t>
        </is>
      </c>
      <c r="T614" t="inlineStr">
        <is>
          <t>none</t>
        </is>
      </c>
      <c r="Z614">
        <f>IF(OR(K247="",K247="TABLE"),"",
_xlfn.TEXTJOIN(", ",TRUE,
IF(E247&lt;&gt;"",E247&amp;K247,""),
IF(F247&lt;&gt;"",F247&amp;K247,""),
IF(G247&lt;&gt;"",G247&amp;K247,"")
))</f>
        <v/>
      </c>
      <c r="AA614">
        <f>IF(K247="","",IF(K247="TABLE","",K247))</f>
        <v/>
      </c>
      <c r="AB614">
        <f>IF(ISNUMBER(SEARCH("기존변경필요",SUBSTITUTE(TRIM(V247),CHAR(10)," "))),"",
IFERROR(
  _xlfn.XLOOKUP(AA247,'기존 end point'!B:B,'기존 end point'!B:B,,0),
""))</f>
        <v/>
      </c>
    </row>
    <row r="615">
      <c r="A615" t="n">
        <v>246</v>
      </c>
      <c r="B615" t="inlineStr">
        <is>
          <t>civil-nx/gen-nx</t>
        </is>
      </c>
      <c r="C615" t="inlineStr">
        <is>
          <t>Boundary</t>
        </is>
      </c>
      <c r="D615" t="inlineStr">
        <is>
          <t>Advanced</t>
        </is>
      </c>
      <c r="E615" t="inlineStr">
        <is>
          <t>Linear Constraints</t>
        </is>
      </c>
      <c r="H615" t="inlineStr">
        <is>
          <t>db</t>
        </is>
      </c>
      <c r="I615" t="inlineStr">
        <is>
          <t>mcon</t>
        </is>
      </c>
      <c r="K615">
        <f>_xlfn.TEXTAFTER(L248,"/",-1)</f>
        <v/>
      </c>
      <c r="L615" t="inlineStr">
        <is>
          <t>/db/mcon</t>
        </is>
      </c>
      <c r="M615" t="inlineStr">
        <is>
          <t>Linear Constraints</t>
        </is>
      </c>
      <c r="N615" t="inlineStr">
        <is>
          <t>done</t>
        </is>
      </c>
      <c r="O615" t="inlineStr">
        <is>
          <t>done</t>
        </is>
      </c>
      <c r="P615" t="inlineStr">
        <is>
          <t>done</t>
        </is>
      </c>
      <c r="Q615" t="inlineStr">
        <is>
          <t>done</t>
        </is>
      </c>
      <c r="R615" t="inlineStr">
        <is>
          <t>done</t>
        </is>
      </c>
      <c r="S615" t="inlineStr">
        <is>
          <t>done</t>
        </is>
      </c>
      <c r="T615" t="inlineStr">
        <is>
          <t>Done</t>
        </is>
      </c>
      <c r="Z615">
        <f>IF(OR(K248="",K248="TABLE"),"",
_xlfn.TEXTJOIN(", ",TRUE,
IF(E248&lt;&gt;"",E248&amp;K248,""),
IF(F248&lt;&gt;"",F248&amp;K248,""),
IF(G248&lt;&gt;"",G248&amp;K248,"")
))</f>
        <v/>
      </c>
      <c r="AA615">
        <f>IF(K248="","",IF(K248="TABLE","",K248))</f>
        <v/>
      </c>
      <c r="AB615">
        <f>IF(ISNUMBER(SEARCH("기존변경필요",SUBSTITUTE(TRIM(V248),CHAR(10)," "))),"",
IFERROR(
  _xlfn.XLOOKUP(AA248,'기존 end point'!B:B,'기존 end point'!B:B,,0),
""))</f>
        <v/>
      </c>
    </row>
    <row r="616">
      <c r="A616" t="n">
        <v>247</v>
      </c>
      <c r="B616" t="inlineStr">
        <is>
          <t>civil-nx/gen-nx</t>
        </is>
      </c>
      <c r="C616" t="inlineStr">
        <is>
          <t>Boundary</t>
        </is>
      </c>
      <c r="D616" t="inlineStr">
        <is>
          <t>Advanced</t>
        </is>
      </c>
      <c r="E616" t="inlineStr">
        <is>
          <t>Planel Zone Effects</t>
        </is>
      </c>
      <c r="H616" t="inlineStr">
        <is>
          <t>db</t>
        </is>
      </c>
      <c r="I616" t="inlineStr">
        <is>
          <t>pzef</t>
        </is>
      </c>
      <c r="K616">
        <f>_xlfn.TEXTAFTER(L249,"/",-1)</f>
        <v/>
      </c>
      <c r="L616" t="inlineStr">
        <is>
          <t>/db/pzef</t>
        </is>
      </c>
      <c r="M616" t="inlineStr">
        <is>
          <t>Panel Zone Effects</t>
        </is>
      </c>
      <c r="N616" t="inlineStr">
        <is>
          <t>done</t>
        </is>
      </c>
      <c r="O616" t="inlineStr">
        <is>
          <t>done</t>
        </is>
      </c>
      <c r="P616" t="inlineStr">
        <is>
          <t>done</t>
        </is>
      </c>
      <c r="Q616" t="inlineStr">
        <is>
          <t>done</t>
        </is>
      </c>
      <c r="R616" t="inlineStr">
        <is>
          <t>done</t>
        </is>
      </c>
      <c r="S616" t="inlineStr">
        <is>
          <t>done</t>
        </is>
      </c>
      <c r="T616" t="inlineStr">
        <is>
          <t>Done</t>
        </is>
      </c>
      <c r="Z616">
        <f>IF(OR(K249="",K249="TABLE"),"",
_xlfn.TEXTJOIN(", ",TRUE,
IF(E249&lt;&gt;"",E249&amp;K249,""),
IF(F249&lt;&gt;"",F249&amp;K249,""),
IF(G249&lt;&gt;"",G249&amp;K249,"")
))</f>
        <v/>
      </c>
      <c r="AA616">
        <f>IF(K249="","",IF(K249="TABLE","",K249))</f>
        <v/>
      </c>
      <c r="AB616">
        <f>IF(ISNUMBER(SEARCH("기존변경필요",SUBSTITUTE(TRIM(V249),CHAR(10)," "))),"",
IFERROR(
  _xlfn.XLOOKUP(AA249,'기존 end point'!B:B,'기존 end point'!B:B,,0),
""))</f>
        <v/>
      </c>
    </row>
    <row r="617">
      <c r="A617" t="n">
        <v>248</v>
      </c>
      <c r="B617" t="inlineStr">
        <is>
          <t>civil-nx/gen-nx</t>
        </is>
      </c>
      <c r="C617" t="inlineStr">
        <is>
          <t>Boundary</t>
        </is>
      </c>
      <c r="D617" t="inlineStr">
        <is>
          <t>Advanced</t>
        </is>
      </c>
      <c r="E617" t="inlineStr">
        <is>
          <t>Define Label Dir</t>
        </is>
      </c>
      <c r="H617" t="inlineStr">
        <is>
          <t>db</t>
        </is>
      </c>
      <c r="I617" t="inlineStr">
        <is>
          <t>cldr</t>
        </is>
      </c>
      <c r="K617">
        <f>_xlfn.TEXTAFTER(L250,"/",-1)</f>
        <v/>
      </c>
      <c r="L617" t="inlineStr">
        <is>
          <t>/db/cldr</t>
        </is>
      </c>
      <c r="M617" t="inlineStr">
        <is>
          <t>Define Constraints Label Direction</t>
        </is>
      </c>
      <c r="N617" t="inlineStr">
        <is>
          <t>done</t>
        </is>
      </c>
      <c r="O617" t="inlineStr">
        <is>
          <t>done</t>
        </is>
      </c>
      <c r="P617" t="inlineStr">
        <is>
          <t>done</t>
        </is>
      </c>
      <c r="Q617" t="inlineStr">
        <is>
          <t>done</t>
        </is>
      </c>
      <c r="R617" t="inlineStr">
        <is>
          <t>done</t>
        </is>
      </c>
      <c r="S617" t="inlineStr">
        <is>
          <t>done</t>
        </is>
      </c>
      <c r="T617" t="inlineStr">
        <is>
          <t>Done</t>
        </is>
      </c>
      <c r="Z617">
        <f>IF(OR(K250="",K250="TABLE"),"",
_xlfn.TEXTJOIN(", ",TRUE,
IF(E250&lt;&gt;"",E250&amp;K250,""),
IF(F250&lt;&gt;"",F250&amp;K250,""),
IF(G250&lt;&gt;"",G250&amp;K250,"")
))</f>
        <v/>
      </c>
      <c r="AA617">
        <f>IF(K250="","",IF(K250="TABLE","",K250))</f>
        <v/>
      </c>
      <c r="AB617">
        <f>IF(ISNUMBER(SEARCH("기존변경필요",SUBSTITUTE(TRIM(V250),CHAR(10)," "))),"",
IFERROR(
  _xlfn.XLOOKUP(AA250,'기존 end point'!B:B,'기존 end point'!B:B,,0),
""))</f>
        <v/>
      </c>
    </row>
    <row r="618">
      <c r="A618" t="n">
        <v>249</v>
      </c>
      <c r="B618" t="inlineStr">
        <is>
          <t>gen-nx</t>
        </is>
      </c>
      <c r="C618" t="inlineStr">
        <is>
          <t>Boundary</t>
        </is>
      </c>
      <c r="D618" t="inlineStr">
        <is>
          <t>Advanced</t>
        </is>
      </c>
      <c r="E618" t="inlineStr">
        <is>
          <t>Diaphragm Disconnect</t>
        </is>
      </c>
      <c r="H618" t="inlineStr">
        <is>
          <t>db</t>
        </is>
      </c>
      <c r="I618" t="inlineStr">
        <is>
          <t>drls</t>
        </is>
      </c>
      <c r="K618">
        <f>_xlfn.TEXTAFTER(L251,"/",-1)</f>
        <v/>
      </c>
      <c r="L618" t="inlineStr">
        <is>
          <t>/db/drls</t>
        </is>
      </c>
      <c r="M618" t="inlineStr">
        <is>
          <t>Diaphragm Disconnect</t>
        </is>
      </c>
      <c r="N618" t="inlineStr">
        <is>
          <t>done</t>
        </is>
      </c>
      <c r="O618" t="inlineStr">
        <is>
          <t>done</t>
        </is>
      </c>
      <c r="P618" t="inlineStr">
        <is>
          <t>done</t>
        </is>
      </c>
      <c r="Q618" t="inlineStr">
        <is>
          <t>done</t>
        </is>
      </c>
      <c r="R618" t="inlineStr">
        <is>
          <t>done</t>
        </is>
      </c>
      <c r="S618" t="inlineStr">
        <is>
          <t>done</t>
        </is>
      </c>
      <c r="T618" t="inlineStr">
        <is>
          <t>Done</t>
        </is>
      </c>
      <c r="Z618">
        <f>IF(OR(K251="",K251="TABLE"),"",
_xlfn.TEXTJOIN(", ",TRUE,
IF(E251&lt;&gt;"",E251&amp;K251,""),
IF(F251&lt;&gt;"",F251&amp;K251,""),
IF(G251&lt;&gt;"",G251&amp;K251,"")
))</f>
        <v/>
      </c>
      <c r="AA618">
        <f>IF(K251="","",IF(K251="TABLE","",K251))</f>
        <v/>
      </c>
      <c r="AB618">
        <f>IF(ISNUMBER(SEARCH("기존변경필요",SUBSTITUTE(TRIM(V251),CHAR(10)," "))),"",
IFERROR(
  _xlfn.XLOOKUP(AA251,'기존 end point'!B:B,'기존 end point'!B:B,,0),
""))</f>
        <v/>
      </c>
    </row>
    <row r="619">
      <c r="A619" t="n">
        <v>250</v>
      </c>
      <c r="B619" t="inlineStr">
        <is>
          <t>gen-nx</t>
        </is>
      </c>
      <c r="C619" t="inlineStr">
        <is>
          <t>Boundary</t>
        </is>
      </c>
      <c r="D619" t="inlineStr">
        <is>
          <t>Advanced</t>
        </is>
      </c>
      <c r="E619" t="inlineStr">
        <is>
          <t>Story Diaphragm Group</t>
        </is>
      </c>
      <c r="T619" t="inlineStr">
        <is>
          <t>none</t>
        </is>
      </c>
      <c r="Z619">
        <f>IF(OR(K252="",K252="TABLE"),"",
_xlfn.TEXTJOIN(", ",TRUE,
IF(E252&lt;&gt;"",E252&amp;K252,""),
IF(F252&lt;&gt;"",F252&amp;K252,""),
IF(G252&lt;&gt;"",G252&amp;K252,"")
))</f>
        <v/>
      </c>
      <c r="AA619">
        <f>IF(K252="","",IF(K252="TABLE","",K252))</f>
        <v/>
      </c>
      <c r="AB619">
        <f>IF(ISNUMBER(SEARCH("기존변경필요",SUBSTITUTE(TRIM(V252),CHAR(10)," "))),"",
IFERROR(
  _xlfn.XLOOKUP(AA252,'기존 end point'!B:B,'기존 end point'!B:B,,0),
""))</f>
        <v/>
      </c>
    </row>
    <row r="620">
      <c r="A620" t="n">
        <v>251</v>
      </c>
      <c r="B620" t="inlineStr">
        <is>
          <t>civil-nx/gen-nx</t>
        </is>
      </c>
      <c r="C620" t="inlineStr">
        <is>
          <t>Boundary</t>
        </is>
      </c>
      <c r="D620" t="inlineStr">
        <is>
          <t>Tables</t>
        </is>
      </c>
      <c r="E620" t="inlineStr">
        <is>
          <t>Boundary Tables</t>
        </is>
      </c>
      <c r="F620" t="inlineStr">
        <is>
          <t>Supports</t>
        </is>
      </c>
      <c r="T620" t="inlineStr">
        <is>
          <t>none</t>
        </is>
      </c>
      <c r="Z620">
        <f>IF(OR(K253="",K253="TABLE"),"",
_xlfn.TEXTJOIN(", ",TRUE,
IF(E253&lt;&gt;"",E253&amp;K253,""),
IF(F253&lt;&gt;"",F253&amp;K253,""),
IF(G253&lt;&gt;"",G253&amp;K253,"")
))</f>
        <v/>
      </c>
      <c r="AA620">
        <f>IF(K253="","",IF(K253="TABLE","",K253))</f>
        <v/>
      </c>
      <c r="AB620">
        <f>IF(ISNUMBER(SEARCH("기존변경필요",SUBSTITUTE(TRIM(V253),CHAR(10)," "))),"",
IFERROR(
  _xlfn.XLOOKUP(AA253,'기존 end point'!B:B,'기존 end point'!B:B,,0),
""))</f>
        <v/>
      </c>
    </row>
    <row r="621">
      <c r="A621" t="n">
        <v>252</v>
      </c>
      <c r="B621" t="inlineStr">
        <is>
          <t>civil-nx/gen-nx</t>
        </is>
      </c>
      <c r="C621" t="inlineStr">
        <is>
          <t>Boundary</t>
        </is>
      </c>
      <c r="D621" t="inlineStr">
        <is>
          <t>Tables</t>
        </is>
      </c>
      <c r="E621" t="inlineStr">
        <is>
          <t>Boundary Tables</t>
        </is>
      </c>
      <c r="F621" t="inlineStr">
        <is>
          <t>Point Spring Supports</t>
        </is>
      </c>
      <c r="T621" t="inlineStr">
        <is>
          <t>none</t>
        </is>
      </c>
      <c r="Z621">
        <f>IF(OR(K254="",K254="TABLE"),"",
_xlfn.TEXTJOIN(", ",TRUE,
IF(E254&lt;&gt;"",E254&amp;K254,""),
IF(F254&lt;&gt;"",F254&amp;K254,""),
IF(G254&lt;&gt;"",G254&amp;K254,"")
))</f>
        <v/>
      </c>
      <c r="AA621">
        <f>IF(K254="","",IF(K254="TABLE","",K254))</f>
        <v/>
      </c>
      <c r="AB621">
        <f>IF(ISNUMBER(SEARCH("기존변경필요",SUBSTITUTE(TRIM(V254),CHAR(10)," "))),"",
IFERROR(
  _xlfn.XLOOKUP(AA254,'기존 end point'!B:B,'기존 end point'!B:B,,0),
""))</f>
        <v/>
      </c>
    </row>
    <row r="622">
      <c r="A622" t="n">
        <v>253</v>
      </c>
      <c r="B622" t="inlineStr">
        <is>
          <t>civil-nx/gen-nx</t>
        </is>
      </c>
      <c r="C622" t="inlineStr">
        <is>
          <t>Boundary</t>
        </is>
      </c>
      <c r="D622" t="inlineStr">
        <is>
          <t>Tables</t>
        </is>
      </c>
      <c r="E622" t="inlineStr">
        <is>
          <t>Boundary Tables</t>
        </is>
      </c>
      <c r="F622" t="inlineStr">
        <is>
          <t>General Spring Supports</t>
        </is>
      </c>
      <c r="T622" t="inlineStr">
        <is>
          <t>none</t>
        </is>
      </c>
      <c r="Z622">
        <f>IF(OR(K255="",K255="TABLE"),"",
_xlfn.TEXTJOIN(", ",TRUE,
IF(E255&lt;&gt;"",E255&amp;K255,""),
IF(F255&lt;&gt;"",F255&amp;K255,""),
IF(G255&lt;&gt;"",G255&amp;K255,"")
))</f>
        <v/>
      </c>
      <c r="AA622">
        <f>IF(K255="","",IF(K255="TABLE","",K255))</f>
        <v/>
      </c>
      <c r="AB622">
        <f>IF(ISNUMBER(SEARCH("기존변경필요",SUBSTITUTE(TRIM(V255),CHAR(10)," "))),"",
IFERROR(
  _xlfn.XLOOKUP(AA255,'기존 end point'!B:B,'기존 end point'!B:B,,0),
""))</f>
        <v/>
      </c>
    </row>
    <row r="623">
      <c r="A623" t="n">
        <v>254</v>
      </c>
      <c r="B623" t="inlineStr">
        <is>
          <t>civil-nx/gen-nx</t>
        </is>
      </c>
      <c r="C623" t="inlineStr">
        <is>
          <t>Boundary</t>
        </is>
      </c>
      <c r="D623" t="inlineStr">
        <is>
          <t>Tables</t>
        </is>
      </c>
      <c r="E623" t="inlineStr">
        <is>
          <t>Boundary Tables</t>
        </is>
      </c>
      <c r="F623" t="inlineStr">
        <is>
          <t>Surface Spring</t>
        </is>
      </c>
      <c r="T623" t="inlineStr">
        <is>
          <t>none</t>
        </is>
      </c>
      <c r="Z623">
        <f>IF(OR(K256="",K256="TABLE"),"",
_xlfn.TEXTJOIN(", ",TRUE,
IF(E256&lt;&gt;"",E256&amp;K256,""),
IF(F256&lt;&gt;"",F256&amp;K256,""),
IF(G256&lt;&gt;"",G256&amp;K256,"")
))</f>
        <v/>
      </c>
      <c r="AA623">
        <f>IF(K256="","",IF(K256="TABLE","",K256))</f>
        <v/>
      </c>
      <c r="AB623">
        <f>IF(ISNUMBER(SEARCH("기존변경필요",SUBSTITUTE(TRIM(V256),CHAR(10)," "))),"",
IFERROR(
  _xlfn.XLOOKUP(AA256,'기존 end point'!B:B,'기존 end point'!B:B,,0),
""))</f>
        <v/>
      </c>
    </row>
    <row r="624">
      <c r="A624" t="n">
        <v>255</v>
      </c>
      <c r="B624" t="inlineStr">
        <is>
          <t>civil-nx/gen-nx</t>
        </is>
      </c>
      <c r="C624" t="inlineStr">
        <is>
          <t>Boundary</t>
        </is>
      </c>
      <c r="D624" t="inlineStr">
        <is>
          <t>Tables</t>
        </is>
      </c>
      <c r="E624" t="inlineStr">
        <is>
          <t>Boundary Tables</t>
        </is>
      </c>
      <c r="F624" t="inlineStr">
        <is>
          <t>Elastic Link</t>
        </is>
      </c>
      <c r="T624" t="inlineStr">
        <is>
          <t>none</t>
        </is>
      </c>
      <c r="Z624">
        <f>IF(OR(K257="",K257="TABLE"),"",
_xlfn.TEXTJOIN(", ",TRUE,
IF(E257&lt;&gt;"",E257&amp;K257,""),
IF(F257&lt;&gt;"",F257&amp;K257,""),
IF(G257&lt;&gt;"",G257&amp;K257,"")
))</f>
        <v/>
      </c>
      <c r="AA624">
        <f>IF(K257="","",IF(K257="TABLE","",K257))</f>
        <v/>
      </c>
      <c r="AB624">
        <f>IF(ISNUMBER(SEARCH("기존변경필요",SUBSTITUTE(TRIM(V257),CHAR(10)," "))),"",
IFERROR(
  _xlfn.XLOOKUP(AA257,'기존 end point'!B:B,'기존 end point'!B:B,,0),
""))</f>
        <v/>
      </c>
    </row>
    <row r="625" hidden="1">
      <c r="A625" t="n">
        <v>256</v>
      </c>
      <c r="B625" t="inlineStr">
        <is>
          <t>civil-nx/gen-nx</t>
        </is>
      </c>
      <c r="C625" t="inlineStr">
        <is>
          <t>Boundary</t>
        </is>
      </c>
      <c r="D625" t="inlineStr">
        <is>
          <t>Tables</t>
        </is>
      </c>
      <c r="E625" t="inlineStr">
        <is>
          <t>Boundary Tables</t>
        </is>
      </c>
      <c r="F625" t="inlineStr">
        <is>
          <t>General Link</t>
        </is>
      </c>
      <c r="T625" t="inlineStr">
        <is>
          <t>none</t>
        </is>
      </c>
      <c r="Z625">
        <f>IF(OR(K258="",K258="TABLE"),"",
_xlfn.TEXTJOIN(", ",TRUE,
IF(E258&lt;&gt;"",E258&amp;K258,""),
IF(F258&lt;&gt;"",F258&amp;K258,""),
IF(G258&lt;&gt;"",G258&amp;K258,"")
))</f>
        <v/>
      </c>
      <c r="AA625">
        <f>IF(K258="","",IF(K258="TABLE","",K258))</f>
        <v/>
      </c>
      <c r="AB625">
        <f>IF(ISNUMBER(SEARCH("기존변경필요",SUBSTITUTE(TRIM(V258),CHAR(10)," "))),"",
IFERROR(
  _xlfn.XLOOKUP(AA258,'기존 end point'!B:B,'기존 end point'!B:B,,0),
""))</f>
        <v/>
      </c>
    </row>
    <row r="626" hidden="1">
      <c r="A626" t="n">
        <v>257</v>
      </c>
      <c r="B626" t="inlineStr">
        <is>
          <t>civil-nx/gen-nx</t>
        </is>
      </c>
      <c r="C626" t="inlineStr">
        <is>
          <t>Boundary</t>
        </is>
      </c>
      <c r="D626" t="inlineStr">
        <is>
          <t>Tables</t>
        </is>
      </c>
      <c r="E626" t="inlineStr">
        <is>
          <t>Boundary Tables</t>
        </is>
      </c>
      <c r="F626" t="inlineStr">
        <is>
          <t>Change General link Property</t>
        </is>
      </c>
      <c r="T626" t="inlineStr">
        <is>
          <t>none</t>
        </is>
      </c>
      <c r="Z626">
        <f>IF(OR(K259="",K259="TABLE"),"",
_xlfn.TEXTJOIN(", ",TRUE,
IF(E259&lt;&gt;"",E259&amp;K259,""),
IF(F259&lt;&gt;"",F259&amp;K259,""),
IF(G259&lt;&gt;"",G259&amp;K259,"")
))</f>
        <v/>
      </c>
      <c r="AA626">
        <f>IF(K259="","",IF(K259="TABLE","",K259))</f>
        <v/>
      </c>
      <c r="AB626">
        <f>IF(ISNUMBER(SEARCH("기존변경필요",SUBSTITUTE(TRIM(V259),CHAR(10)," "))),"",
IFERROR(
  _xlfn.XLOOKUP(AA259,'기존 end point'!B:B,'기존 end point'!B:B,,0),
""))</f>
        <v/>
      </c>
    </row>
    <row r="627">
      <c r="A627" t="n">
        <v>258</v>
      </c>
      <c r="B627" t="inlineStr">
        <is>
          <t>civil-nx/gen-nx</t>
        </is>
      </c>
      <c r="C627" t="inlineStr">
        <is>
          <t>Boundary</t>
        </is>
      </c>
      <c r="D627" t="inlineStr">
        <is>
          <t>Tables</t>
        </is>
      </c>
      <c r="E627" t="inlineStr">
        <is>
          <t>Boundary Tables</t>
        </is>
      </c>
      <c r="F627" t="inlineStr">
        <is>
          <t>Beam End Release</t>
        </is>
      </c>
      <c r="T627" t="inlineStr">
        <is>
          <t>none</t>
        </is>
      </c>
      <c r="Z627">
        <f>IF(OR(K260="",K260="TABLE"),"",
_xlfn.TEXTJOIN(", ",TRUE,
IF(E260&lt;&gt;"",E260&amp;K260,""),
IF(F260&lt;&gt;"",F260&amp;K260,""),
IF(G260&lt;&gt;"",G260&amp;K260,"")
))</f>
        <v/>
      </c>
      <c r="AA627">
        <f>IF(K260="","",IF(K260="TABLE","",K260))</f>
        <v/>
      </c>
      <c r="AB627">
        <f>IF(ISNUMBER(SEARCH("기존변경필요",SUBSTITUTE(TRIM(V260),CHAR(10)," "))),"",
IFERROR(
  _xlfn.XLOOKUP(AA260,'기존 end point'!B:B,'기존 end point'!B:B,,0),
""))</f>
        <v/>
      </c>
    </row>
    <row r="628" hidden="1">
      <c r="A628" t="n">
        <v>259</v>
      </c>
      <c r="B628" t="inlineStr">
        <is>
          <t>civil-nx/gen-nx</t>
        </is>
      </c>
      <c r="C628" t="inlineStr">
        <is>
          <t>Boundary</t>
        </is>
      </c>
      <c r="D628" t="inlineStr">
        <is>
          <t>Tables</t>
        </is>
      </c>
      <c r="E628" t="inlineStr">
        <is>
          <t>Boundary Tables</t>
        </is>
      </c>
      <c r="F628" t="inlineStr">
        <is>
          <t>Beam End Offsets</t>
        </is>
      </c>
      <c r="T628" t="inlineStr">
        <is>
          <t>none</t>
        </is>
      </c>
      <c r="Z628">
        <f>IF(OR(K261="",K261="TABLE"),"",
_xlfn.TEXTJOIN(", ",TRUE,
IF(E261&lt;&gt;"",E261&amp;K261,""),
IF(F261&lt;&gt;"",F261&amp;K261,""),
IF(G261&lt;&gt;"",G261&amp;K261,"")
))</f>
        <v/>
      </c>
      <c r="AA628">
        <f>IF(K261="","",IF(K261="TABLE","",K261))</f>
        <v/>
      </c>
      <c r="AB628">
        <f>IF(ISNUMBER(SEARCH("기존변경필요",SUBSTITUTE(TRIM(V261),CHAR(10)," "))),"",
IFERROR(
  _xlfn.XLOOKUP(AA261,'기존 end point'!B:B,'기존 end point'!B:B,,0),
""))</f>
        <v/>
      </c>
    </row>
    <row r="629">
      <c r="A629" t="n">
        <v>260</v>
      </c>
      <c r="B629" t="inlineStr">
        <is>
          <t>civil-nx/gen-nx</t>
        </is>
      </c>
      <c r="C629" t="inlineStr">
        <is>
          <t>Boundary</t>
        </is>
      </c>
      <c r="D629" t="inlineStr">
        <is>
          <t>Tables</t>
        </is>
      </c>
      <c r="E629" t="inlineStr">
        <is>
          <t>Boundary Tables</t>
        </is>
      </c>
      <c r="F629" t="inlineStr">
        <is>
          <t>Plate End Release</t>
        </is>
      </c>
      <c r="T629" t="inlineStr">
        <is>
          <t>none</t>
        </is>
      </c>
      <c r="Z629">
        <f>IF(OR(K262="",K262="TABLE"),"",
_xlfn.TEXTJOIN(", ",TRUE,
IF(E262&lt;&gt;"",E262&amp;K262,""),
IF(F262&lt;&gt;"",F262&amp;K262,""),
IF(G262&lt;&gt;"",G262&amp;K262,"")
))</f>
        <v/>
      </c>
      <c r="AA629">
        <f>IF(K262="","",IF(K262="TABLE","",K262))</f>
        <v/>
      </c>
      <c r="AB629">
        <f>IF(ISNUMBER(SEARCH("기존변경필요",SUBSTITUTE(TRIM(V262),CHAR(10)," "))),"",
IFERROR(
  _xlfn.XLOOKUP(AA262,'기존 end point'!B:B,'기존 end point'!B:B,,0),
""))</f>
        <v/>
      </c>
    </row>
    <row r="630">
      <c r="A630" t="n">
        <v>261</v>
      </c>
      <c r="B630" t="inlineStr">
        <is>
          <t>civil-nx/gen-nx</t>
        </is>
      </c>
      <c r="C630" t="inlineStr">
        <is>
          <t>Boundary</t>
        </is>
      </c>
      <c r="D630" t="inlineStr">
        <is>
          <t>Tables</t>
        </is>
      </c>
      <c r="E630" t="inlineStr">
        <is>
          <t>Boundary Tables</t>
        </is>
      </c>
      <c r="F630" t="inlineStr">
        <is>
          <t>Rigid Link</t>
        </is>
      </c>
      <c r="T630" t="inlineStr">
        <is>
          <t>none</t>
        </is>
      </c>
      <c r="Z630">
        <f>IF(OR(K263="",K263="TABLE"),"",
_xlfn.TEXTJOIN(", ",TRUE,
IF(E263&lt;&gt;"",E263&amp;K263,""),
IF(F263&lt;&gt;"",F263&amp;K263,""),
IF(G263&lt;&gt;"",G263&amp;K263,"")
))</f>
        <v/>
      </c>
      <c r="AA630">
        <f>IF(K263="","",IF(K263="TABLE","",K263))</f>
        <v/>
      </c>
      <c r="AB630">
        <f>IF(ISNUMBER(SEARCH("기존변경필요",SUBSTITUTE(TRIM(V263),CHAR(10)," "))),"",
IFERROR(
  _xlfn.XLOOKUP(AA263,'기존 end point'!B:B,'기존 end point'!B:B,,0),
""))</f>
        <v/>
      </c>
    </row>
    <row r="631" hidden="1">
      <c r="A631" t="n">
        <v>262</v>
      </c>
      <c r="B631" t="inlineStr">
        <is>
          <t>civil-nx/gen-nx</t>
        </is>
      </c>
      <c r="C631" t="inlineStr">
        <is>
          <t>Static Loads</t>
        </is>
      </c>
      <c r="D631" t="inlineStr">
        <is>
          <t>Create Load Cases</t>
        </is>
      </c>
      <c r="E631" t="inlineStr">
        <is>
          <t>Static Load Cases</t>
        </is>
      </c>
      <c r="H631" t="inlineStr">
        <is>
          <t>db</t>
        </is>
      </c>
      <c r="I631" t="inlineStr">
        <is>
          <t>stld</t>
        </is>
      </c>
      <c r="K631">
        <f>_xlfn.TEXTAFTER(L264,"/",-1)</f>
        <v/>
      </c>
      <c r="L631" t="inlineStr">
        <is>
          <t>/db/stld</t>
        </is>
      </c>
      <c r="M631" t="inlineStr">
        <is>
          <t>Static Load Cases</t>
        </is>
      </c>
      <c r="N631" t="inlineStr">
        <is>
          <t>done</t>
        </is>
      </c>
      <c r="O631" t="inlineStr">
        <is>
          <t>done</t>
        </is>
      </c>
      <c r="P631" t="inlineStr">
        <is>
          <t>done</t>
        </is>
      </c>
      <c r="Q631" t="inlineStr">
        <is>
          <t>done</t>
        </is>
      </c>
      <c r="R631" t="inlineStr">
        <is>
          <t>done</t>
        </is>
      </c>
      <c r="S631" t="inlineStr">
        <is>
          <t>done</t>
        </is>
      </c>
      <c r="T631" t="inlineStr">
        <is>
          <t>Done</t>
        </is>
      </c>
      <c r="Z631">
        <f>IF(OR(K264="",K264="TABLE"),"",
_xlfn.TEXTJOIN(", ",TRUE,
IF(E264&lt;&gt;"",E264&amp;K264,""),
IF(F264&lt;&gt;"",F264&amp;K264,""),
IF(G264&lt;&gt;"",G264&amp;K264,"")
))</f>
        <v/>
      </c>
      <c r="AA631">
        <f>IF(K264="","",IF(K264="TABLE","",K264))</f>
        <v/>
      </c>
      <c r="AB631">
        <f>IF(ISNUMBER(SEARCH("기존변경필요",SUBSTITUTE(TRIM(V264),CHAR(10)," "))),"",
IFERROR(
  _xlfn.XLOOKUP(AA264,'기존 end point'!B:B,'기존 end point'!B:B,,0),
""))</f>
        <v/>
      </c>
    </row>
    <row r="632" hidden="1">
      <c r="A632" t="n">
        <v>263</v>
      </c>
      <c r="B632" t="inlineStr">
        <is>
          <t>civil-nx/gen-nx</t>
        </is>
      </c>
      <c r="C632" t="inlineStr">
        <is>
          <t>Static Loads</t>
        </is>
      </c>
      <c r="D632" t="inlineStr">
        <is>
          <t>Create Load Cases</t>
        </is>
      </c>
      <c r="E632" t="inlineStr">
        <is>
          <t>Using Load Combinations</t>
        </is>
      </c>
      <c r="T632" t="inlineStr">
        <is>
          <t>none</t>
        </is>
      </c>
      <c r="Z632">
        <f>IF(OR(K265="",K265="TABLE"),"",
_xlfn.TEXTJOIN(", ",TRUE,
IF(E265&lt;&gt;"",E265&amp;K265,""),
IF(F265&lt;&gt;"",F265&amp;K265,""),
IF(G265&lt;&gt;"",G265&amp;K265,"")
))</f>
        <v/>
      </c>
      <c r="AA632">
        <f>IF(K265="","",IF(K265="TABLE","",K265))</f>
        <v/>
      </c>
      <c r="AB632">
        <f>IF(ISNUMBER(SEARCH("기존변경필요",SUBSTITUTE(TRIM(V265),CHAR(10)," "))),"",
IFERROR(
  _xlfn.XLOOKUP(AA265,'기존 end point'!B:B,'기존 end point'!B:B,,0),
""))</f>
        <v/>
      </c>
    </row>
    <row r="633" hidden="1">
      <c r="A633" t="n">
        <v>264</v>
      </c>
      <c r="B633" t="inlineStr">
        <is>
          <t>civil-nx/gen-nx</t>
        </is>
      </c>
      <c r="C633" t="inlineStr">
        <is>
          <t>Static Loads</t>
        </is>
      </c>
      <c r="D633" t="inlineStr">
        <is>
          <t>Static Loads</t>
        </is>
      </c>
      <c r="E633" t="inlineStr">
        <is>
          <t>Self Weight</t>
        </is>
      </c>
      <c r="H633" t="inlineStr">
        <is>
          <t>db</t>
        </is>
      </c>
      <c r="I633" t="inlineStr">
        <is>
          <t>bodf</t>
        </is>
      </c>
      <c r="K633">
        <f>_xlfn.TEXTAFTER(L266,"/",-1)</f>
        <v/>
      </c>
      <c r="L633" t="inlineStr">
        <is>
          <t>/db/bodf</t>
        </is>
      </c>
      <c r="M633" t="inlineStr">
        <is>
          <t>Self-Weight</t>
        </is>
      </c>
      <c r="N633" t="inlineStr">
        <is>
          <t>done</t>
        </is>
      </c>
      <c r="O633" t="inlineStr">
        <is>
          <t>done</t>
        </is>
      </c>
      <c r="P633" t="inlineStr">
        <is>
          <t>done</t>
        </is>
      </c>
      <c r="Q633" t="inlineStr">
        <is>
          <t>done</t>
        </is>
      </c>
      <c r="R633" t="inlineStr">
        <is>
          <t>done</t>
        </is>
      </c>
      <c r="S633" t="inlineStr">
        <is>
          <t>done</t>
        </is>
      </c>
      <c r="T633" t="inlineStr">
        <is>
          <t>Done</t>
        </is>
      </c>
      <c r="Z633">
        <f>IF(OR(K266="",K266="TABLE"),"",
_xlfn.TEXTJOIN(", ",TRUE,
IF(E266&lt;&gt;"",E266&amp;K266,""),
IF(F266&lt;&gt;"",F266&amp;K266,""),
IF(G266&lt;&gt;"",G266&amp;K266,"")
))</f>
        <v/>
      </c>
      <c r="AA633">
        <f>IF(K266="","",IF(K266="TABLE","",K266))</f>
        <v/>
      </c>
      <c r="AB633">
        <f>IF(ISNUMBER(SEARCH("기존변경필요",SUBSTITUTE(TRIM(V266),CHAR(10)," "))),"",
IFERROR(
  _xlfn.XLOOKUP(AA266,'기존 end point'!B:B,'기존 end point'!B:B,,0),
""))</f>
        <v/>
      </c>
    </row>
    <row r="634" hidden="1">
      <c r="A634" t="n">
        <v>265</v>
      </c>
      <c r="B634" t="inlineStr">
        <is>
          <t>civil-nx/gen-nx</t>
        </is>
      </c>
      <c r="C634" t="inlineStr">
        <is>
          <t>Static Loads</t>
        </is>
      </c>
      <c r="D634" t="inlineStr">
        <is>
          <t>Static Loads</t>
        </is>
      </c>
      <c r="E634" t="inlineStr">
        <is>
          <t>Nodal Loads</t>
        </is>
      </c>
      <c r="H634" t="inlineStr">
        <is>
          <t>db</t>
        </is>
      </c>
      <c r="I634" t="inlineStr">
        <is>
          <t>cnld</t>
        </is>
      </c>
      <c r="K634">
        <f>_xlfn.TEXTAFTER(L267,"/",-1)</f>
        <v/>
      </c>
      <c r="L634" t="inlineStr">
        <is>
          <t>/db/cnld</t>
        </is>
      </c>
      <c r="M634" t="inlineStr">
        <is>
          <t>Nodal Loads</t>
        </is>
      </c>
      <c r="N634" t="inlineStr">
        <is>
          <t>done</t>
        </is>
      </c>
      <c r="O634" t="inlineStr">
        <is>
          <t>done</t>
        </is>
      </c>
      <c r="P634" t="inlineStr">
        <is>
          <t>done</t>
        </is>
      </c>
      <c r="Q634" t="inlineStr">
        <is>
          <t>done</t>
        </is>
      </c>
      <c r="R634" t="inlineStr">
        <is>
          <t>done</t>
        </is>
      </c>
      <c r="S634" t="inlineStr">
        <is>
          <t>done</t>
        </is>
      </c>
      <c r="T634" t="inlineStr">
        <is>
          <t>Done</t>
        </is>
      </c>
      <c r="Z634">
        <f>IF(OR(K267="",K267="TABLE"),"",
_xlfn.TEXTJOIN(", ",TRUE,
IF(E267&lt;&gt;"",E267&amp;K267,""),
IF(F267&lt;&gt;"",F267&amp;K267,""),
IF(G267&lt;&gt;"",G267&amp;K267,"")
))</f>
        <v/>
      </c>
      <c r="AA634">
        <f>IF(K267="","",IF(K267="TABLE","",K267))</f>
        <v/>
      </c>
      <c r="AB634">
        <f>IF(ISNUMBER(SEARCH("기존변경필요",SUBSTITUTE(TRIM(V267),CHAR(10)," "))),"",
IFERROR(
  _xlfn.XLOOKUP(AA267,'기존 end point'!B:B,'기존 end point'!B:B,,0),
""))</f>
        <v/>
      </c>
    </row>
    <row r="635" hidden="1">
      <c r="A635" t="n">
        <v>266</v>
      </c>
      <c r="B635" t="inlineStr">
        <is>
          <t>civil-nx/gen-nx</t>
        </is>
      </c>
      <c r="C635" t="inlineStr">
        <is>
          <t>Static Loads</t>
        </is>
      </c>
      <c r="D635" t="inlineStr">
        <is>
          <t>Static Loads</t>
        </is>
      </c>
      <c r="E635" t="inlineStr">
        <is>
          <t>Beam Loads</t>
        </is>
      </c>
      <c r="F635" t="inlineStr">
        <is>
          <t>Element</t>
        </is>
      </c>
      <c r="H635" t="inlineStr">
        <is>
          <t>db</t>
        </is>
      </c>
      <c r="I635" t="inlineStr">
        <is>
          <t>bmld</t>
        </is>
      </c>
      <c r="K635">
        <f>_xlfn.TEXTAFTER(L268,"/",-1)</f>
        <v/>
      </c>
      <c r="L635" t="inlineStr">
        <is>
          <t>/db/bmld</t>
        </is>
      </c>
      <c r="M635" t="inlineStr">
        <is>
          <t>Beam Loads</t>
        </is>
      </c>
      <c r="N635" t="inlineStr">
        <is>
          <t>done</t>
        </is>
      </c>
      <c r="O635" t="inlineStr">
        <is>
          <t>done</t>
        </is>
      </c>
      <c r="P635" t="inlineStr">
        <is>
          <t>done</t>
        </is>
      </c>
      <c r="Q635" t="inlineStr">
        <is>
          <t>done</t>
        </is>
      </c>
      <c r="R635" t="inlineStr">
        <is>
          <t>done</t>
        </is>
      </c>
      <c r="S635" t="inlineStr">
        <is>
          <t>done</t>
        </is>
      </c>
      <c r="T635" t="inlineStr">
        <is>
          <t>Done</t>
        </is>
      </c>
      <c r="Z635">
        <f>IF(OR(K268="",K268="TABLE"),"",
_xlfn.TEXTJOIN(", ",TRUE,
IF(E268&lt;&gt;"",E268&amp;K268,""),
IF(F268&lt;&gt;"",F268&amp;K268,""),
IF(G268&lt;&gt;"",G268&amp;K268,"")
))</f>
        <v/>
      </c>
      <c r="AA635">
        <f>IF(K268="","",IF(K268="TABLE","",K268))</f>
        <v/>
      </c>
      <c r="AB635">
        <f>IF(ISNUMBER(SEARCH("기존변경필요",SUBSTITUTE(TRIM(V268),CHAR(10)," "))),"",
IFERROR(
  _xlfn.XLOOKUP(AA268,'기존 end point'!B:B,'기존 end point'!B:B,,0),
""))</f>
        <v/>
      </c>
    </row>
    <row r="636" hidden="1">
      <c r="A636" t="n">
        <v>267</v>
      </c>
      <c r="B636" t="inlineStr">
        <is>
          <t>civil-nx/gen-nx</t>
        </is>
      </c>
      <c r="C636" t="inlineStr">
        <is>
          <t>Static Loads</t>
        </is>
      </c>
      <c r="D636" t="inlineStr">
        <is>
          <t>Static Loads</t>
        </is>
      </c>
      <c r="E636" t="inlineStr">
        <is>
          <t>Beam Loads</t>
        </is>
      </c>
      <c r="F636" t="inlineStr">
        <is>
          <t>Line</t>
        </is>
      </c>
      <c r="T636" t="inlineStr">
        <is>
          <t>none</t>
        </is>
      </c>
      <c r="Z636">
        <f>IF(OR(K269="",K269="TABLE"),"",
_xlfn.TEXTJOIN(", ",TRUE,
IF(E269&lt;&gt;"",E269&amp;K269,""),
IF(F269&lt;&gt;"",F269&amp;K269,""),
IF(G269&lt;&gt;"",G269&amp;K269,"")
))</f>
        <v/>
      </c>
      <c r="AA636">
        <f>IF(K269="","",IF(K269="TABLE","",K269))</f>
        <v/>
      </c>
      <c r="AB636">
        <f>IF(ISNUMBER(SEARCH("기존변경필요",SUBSTITUTE(TRIM(V269),CHAR(10)," "))),"",
IFERROR(
  _xlfn.XLOOKUP(AA269,'기존 end point'!B:B,'기존 end point'!B:B,,0),
""))</f>
        <v/>
      </c>
    </row>
    <row r="637" hidden="1">
      <c r="A637" t="n">
        <v>268</v>
      </c>
      <c r="B637" t="inlineStr">
        <is>
          <t>civil-nx/gen-nx</t>
        </is>
      </c>
      <c r="C637" t="inlineStr">
        <is>
          <t>Static Loads</t>
        </is>
      </c>
      <c r="D637" t="inlineStr">
        <is>
          <t>Static Loads</t>
        </is>
      </c>
      <c r="E637" t="inlineStr">
        <is>
          <t>Beam Loads</t>
        </is>
      </c>
      <c r="F637" t="inlineStr">
        <is>
          <t>Typical</t>
        </is>
      </c>
      <c r="T637" t="inlineStr">
        <is>
          <t>none</t>
        </is>
      </c>
      <c r="Z637">
        <f>IF(OR(K270="",K270="TABLE"),"",
_xlfn.TEXTJOIN(", ",TRUE,
IF(E270&lt;&gt;"",E270&amp;K270,""),
IF(F270&lt;&gt;"",F270&amp;K270,""),
IF(G270&lt;&gt;"",G270&amp;K270,"")
))</f>
        <v/>
      </c>
      <c r="AA637">
        <f>IF(K270="","",IF(K270="TABLE","",K270))</f>
        <v/>
      </c>
      <c r="AB637">
        <f>IF(ISNUMBER(SEARCH("기존변경필요",SUBSTITUTE(TRIM(V270),CHAR(10)," "))),"",
IFERROR(
  _xlfn.XLOOKUP(AA270,'기존 end point'!B:B,'기존 end point'!B:B,,0),
""))</f>
        <v/>
      </c>
    </row>
    <row r="638" hidden="1">
      <c r="A638" t="n">
        <v>269</v>
      </c>
      <c r="B638" t="inlineStr">
        <is>
          <t>civil-nx/gen-nx</t>
        </is>
      </c>
      <c r="C638" t="inlineStr">
        <is>
          <t>Static Loads</t>
        </is>
      </c>
      <c r="D638" t="inlineStr">
        <is>
          <t>Static Loads</t>
        </is>
      </c>
      <c r="E638" t="inlineStr">
        <is>
          <t>Specified Displ.</t>
        </is>
      </c>
      <c r="H638" t="inlineStr">
        <is>
          <t>db</t>
        </is>
      </c>
      <c r="I638" t="inlineStr">
        <is>
          <t>sdsp</t>
        </is>
      </c>
      <c r="K638">
        <f>_xlfn.TEXTAFTER(L271,"/",-1)</f>
        <v/>
      </c>
      <c r="L638" t="inlineStr">
        <is>
          <t>/db/sdsp</t>
        </is>
      </c>
      <c r="M638" t="inlineStr">
        <is>
          <t>Specified Displacements of Support</t>
        </is>
      </c>
      <c r="N638" t="inlineStr">
        <is>
          <t>done</t>
        </is>
      </c>
      <c r="O638" t="inlineStr">
        <is>
          <t>done</t>
        </is>
      </c>
      <c r="P638" t="inlineStr">
        <is>
          <t>done</t>
        </is>
      </c>
      <c r="Q638" t="inlineStr">
        <is>
          <t>done</t>
        </is>
      </c>
      <c r="R638" t="inlineStr">
        <is>
          <t>done</t>
        </is>
      </c>
      <c r="S638" t="inlineStr">
        <is>
          <t>done</t>
        </is>
      </c>
      <c r="T638" t="inlineStr">
        <is>
          <t>Done</t>
        </is>
      </c>
      <c r="Z638">
        <f>IF(OR(K271="",K271="TABLE"),"",
_xlfn.TEXTJOIN(", ",TRUE,
IF(E271&lt;&gt;"",E271&amp;K271,""),
IF(F271&lt;&gt;"",F271&amp;K271,""),
IF(G271&lt;&gt;"",G271&amp;K271,"")
))</f>
        <v/>
      </c>
      <c r="AA638">
        <f>IF(K271="","",IF(K271="TABLE","",K271))</f>
        <v/>
      </c>
      <c r="AB638">
        <f>IF(ISNUMBER(SEARCH("기존변경필요",SUBSTITUTE(TRIM(V271),CHAR(10)," "))),"",
IFERROR(
  _xlfn.XLOOKUP(AA271,'기존 end point'!B:B,'기존 end point'!B:B,,0),
""))</f>
        <v/>
      </c>
    </row>
    <row r="639" hidden="1">
      <c r="A639" t="n">
        <v>270</v>
      </c>
      <c r="B639" t="inlineStr">
        <is>
          <t>civil-nx/gen-nx</t>
        </is>
      </c>
      <c r="C639" t="inlineStr">
        <is>
          <t>Static Loads</t>
        </is>
      </c>
      <c r="D639" t="inlineStr">
        <is>
          <t>Masses</t>
        </is>
      </c>
      <c r="E639" t="inlineStr">
        <is>
          <t>Masses</t>
        </is>
      </c>
      <c r="F639" t="inlineStr">
        <is>
          <t>Nodal Masses</t>
        </is>
      </c>
      <c r="H639" t="inlineStr">
        <is>
          <t>db</t>
        </is>
      </c>
      <c r="I639" t="inlineStr">
        <is>
          <t>nmas</t>
        </is>
      </c>
      <c r="K639">
        <f>_xlfn.TEXTAFTER(L272,"/",-1)</f>
        <v/>
      </c>
      <c r="L639" t="inlineStr">
        <is>
          <t>/db/nmas</t>
        </is>
      </c>
      <c r="M639" t="inlineStr">
        <is>
          <t>Nodal Masses</t>
        </is>
      </c>
      <c r="N639" t="inlineStr">
        <is>
          <t>done</t>
        </is>
      </c>
      <c r="O639" t="inlineStr">
        <is>
          <t>done</t>
        </is>
      </c>
      <c r="P639" t="inlineStr">
        <is>
          <t>done</t>
        </is>
      </c>
      <c r="Q639" t="inlineStr">
        <is>
          <t>done</t>
        </is>
      </c>
      <c r="R639" t="inlineStr">
        <is>
          <t>done</t>
        </is>
      </c>
      <c r="S639" t="inlineStr">
        <is>
          <t>done</t>
        </is>
      </c>
      <c r="T639" t="inlineStr">
        <is>
          <t>Done</t>
        </is>
      </c>
      <c r="Z639">
        <f>IF(OR(K272="",K272="TABLE"),"",
_xlfn.TEXTJOIN(", ",TRUE,
IF(E272&lt;&gt;"",E272&amp;K272,""),
IF(F272&lt;&gt;"",F272&amp;K272,""),
IF(G272&lt;&gt;"",G272&amp;K272,"")
))</f>
        <v/>
      </c>
      <c r="AA639">
        <f>IF(K272="","",IF(K272="TABLE","",K272))</f>
        <v/>
      </c>
      <c r="AB639">
        <f>IF(ISNUMBER(SEARCH("기존변경필요",SUBSTITUTE(TRIM(V272),CHAR(10)," "))),"",
IFERROR(
  _xlfn.XLOOKUP(AA272,'기존 end point'!B:B,'기존 end point'!B:B,,0),
""))</f>
        <v/>
      </c>
    </row>
    <row r="640" hidden="1">
      <c r="A640" t="n">
        <v>271</v>
      </c>
      <c r="B640" t="inlineStr">
        <is>
          <t>civil-nx/gen-nx</t>
        </is>
      </c>
      <c r="C640" t="inlineStr">
        <is>
          <t>Static Loads</t>
        </is>
      </c>
      <c r="D640" t="inlineStr">
        <is>
          <t>Masses</t>
        </is>
      </c>
      <c r="E640" t="inlineStr">
        <is>
          <t>Masses</t>
        </is>
      </c>
      <c r="F640" t="inlineStr">
        <is>
          <t>Loads to Masses</t>
        </is>
      </c>
      <c r="H640" t="inlineStr">
        <is>
          <t>db</t>
        </is>
      </c>
      <c r="I640" t="inlineStr">
        <is>
          <t>ltom</t>
        </is>
      </c>
      <c r="K640">
        <f>_xlfn.TEXTAFTER(L273,"/",-1)</f>
        <v/>
      </c>
      <c r="L640" t="inlineStr">
        <is>
          <t>/db/ltom</t>
        </is>
      </c>
      <c r="M640" t="inlineStr">
        <is>
          <t>Loads to Masses</t>
        </is>
      </c>
      <c r="N640" t="inlineStr">
        <is>
          <t>done</t>
        </is>
      </c>
      <c r="O640" t="inlineStr">
        <is>
          <t>done</t>
        </is>
      </c>
      <c r="P640" t="inlineStr">
        <is>
          <t>done</t>
        </is>
      </c>
      <c r="Q640" t="inlineStr">
        <is>
          <t>done</t>
        </is>
      </c>
      <c r="R640" t="inlineStr">
        <is>
          <t>done</t>
        </is>
      </c>
      <c r="S640" t="inlineStr">
        <is>
          <t>done</t>
        </is>
      </c>
      <c r="T640" t="inlineStr">
        <is>
          <t>Done</t>
        </is>
      </c>
      <c r="Z640">
        <f>IF(OR(K273="",K273="TABLE"),"",
_xlfn.TEXTJOIN(", ",TRUE,
IF(E273&lt;&gt;"",E273&amp;K273,""),
IF(F273&lt;&gt;"",F273&amp;K273,""),
IF(G273&lt;&gt;"",G273&amp;K273,"")
))</f>
        <v/>
      </c>
      <c r="AA640">
        <f>IF(K273="","",IF(K273="TABLE","",K273))</f>
        <v/>
      </c>
      <c r="AB640">
        <f>IF(ISNUMBER(SEARCH("기존변경필요",SUBSTITUTE(TRIM(V273),CHAR(10)," "))),"",
IFERROR(
  _xlfn.XLOOKUP(AA273,'기존 end point'!B:B,'기존 end point'!B:B,,0),
""))</f>
        <v/>
      </c>
    </row>
    <row r="641" hidden="1">
      <c r="A641" t="n">
        <v>272</v>
      </c>
      <c r="B641" t="inlineStr">
        <is>
          <t>gen-nx</t>
        </is>
      </c>
      <c r="C641" t="inlineStr">
        <is>
          <t>Static Loads</t>
        </is>
      </c>
      <c r="D641" t="inlineStr">
        <is>
          <t>Masses</t>
        </is>
      </c>
      <c r="E641" t="inlineStr">
        <is>
          <t>Masses</t>
        </is>
      </c>
      <c r="F641" t="inlineStr">
        <is>
          <t>Floor Disphragm Masses</t>
        </is>
      </c>
      <c r="T641" t="inlineStr">
        <is>
          <t>none</t>
        </is>
      </c>
      <c r="Z641">
        <f>IF(OR(K274="",K274="TABLE"),"",
_xlfn.TEXTJOIN(", ",TRUE,
IF(E274&lt;&gt;"",E274&amp;K274,""),
IF(F274&lt;&gt;"",F274&amp;K274,""),
IF(G274&lt;&gt;"",G274&amp;K274,"")
))</f>
        <v/>
      </c>
      <c r="AA641">
        <f>IF(K274="","",IF(K274="TABLE","",K274))</f>
        <v/>
      </c>
      <c r="AB641">
        <f>IF(ISNUMBER(SEARCH("기존변경필요",SUBSTITUTE(TRIM(V274),CHAR(10)," "))),"",
IFERROR(
  _xlfn.XLOOKUP(AA274,'기존 end point'!B:B,'기존 end point'!B:B,,0),
""))</f>
        <v/>
      </c>
    </row>
    <row r="642" hidden="1">
      <c r="A642" t="n">
        <v>273</v>
      </c>
      <c r="B642" t="inlineStr">
        <is>
          <t>civil-nx/gen-nx</t>
        </is>
      </c>
      <c r="C642" t="inlineStr">
        <is>
          <t>Static Loads</t>
        </is>
      </c>
      <c r="D642" t="inlineStr">
        <is>
          <t>Masses</t>
        </is>
      </c>
      <c r="E642" t="inlineStr">
        <is>
          <t>Nodal Body Force</t>
        </is>
      </c>
      <c r="H642" t="inlineStr">
        <is>
          <t>db</t>
        </is>
      </c>
      <c r="I642" t="inlineStr">
        <is>
          <t>nbof</t>
        </is>
      </c>
      <c r="K642">
        <f>_xlfn.TEXTAFTER(L275,"/",-1)</f>
        <v/>
      </c>
      <c r="L642" t="inlineStr">
        <is>
          <t>/db/nbof</t>
        </is>
      </c>
      <c r="M642" t="inlineStr">
        <is>
          <t>Nodal Body Force</t>
        </is>
      </c>
      <c r="N642" t="inlineStr">
        <is>
          <t>done</t>
        </is>
      </c>
      <c r="O642" t="inlineStr">
        <is>
          <t>done</t>
        </is>
      </c>
      <c r="P642" t="inlineStr">
        <is>
          <t>done</t>
        </is>
      </c>
      <c r="Q642" t="inlineStr">
        <is>
          <t>done</t>
        </is>
      </c>
      <c r="R642" t="inlineStr">
        <is>
          <t>done</t>
        </is>
      </c>
      <c r="S642" t="inlineStr">
        <is>
          <t>done</t>
        </is>
      </c>
      <c r="T642" t="inlineStr">
        <is>
          <t>Done</t>
        </is>
      </c>
      <c r="Z642">
        <f>IF(OR(K275="",K275="TABLE"),"",
_xlfn.TEXTJOIN(", ",TRUE,
IF(E275&lt;&gt;"",E275&amp;K275,""),
IF(F275&lt;&gt;"",F275&amp;K275,""),
IF(G275&lt;&gt;"",G275&amp;K275,"")
))</f>
        <v/>
      </c>
      <c r="AA642">
        <f>IF(K275="","",IF(K275="TABLE","",K275))</f>
        <v/>
      </c>
      <c r="AB642">
        <f>IF(ISNUMBER(SEARCH("기존변경필요",SUBSTITUTE(TRIM(V275),CHAR(10)," "))),"",
IFERROR(
  _xlfn.XLOOKUP(AA275,'기존 end point'!B:B,'기존 end point'!B:B,,0),
""))</f>
        <v/>
      </c>
    </row>
    <row r="643" hidden="1">
      <c r="A643" t="n">
        <v>274</v>
      </c>
      <c r="B643" t="inlineStr">
        <is>
          <t>gen-nx</t>
        </is>
      </c>
      <c r="C643" t="inlineStr">
        <is>
          <t>Static Loads</t>
        </is>
      </c>
      <c r="D643" t="inlineStr">
        <is>
          <t>Lateral</t>
        </is>
      </c>
      <c r="E643" t="inlineStr">
        <is>
          <t>Wind Loads</t>
        </is>
      </c>
      <c r="T643" t="inlineStr">
        <is>
          <t>none</t>
        </is>
      </c>
      <c r="Z643">
        <f>IF(OR(K276="",K276="TABLE"),"",
_xlfn.TEXTJOIN(", ",TRUE,
IF(E276&lt;&gt;"",E276&amp;K276,""),
IF(F276&lt;&gt;"",F276&amp;K276,""),
IF(G276&lt;&gt;"",G276&amp;K276,"")
))</f>
        <v/>
      </c>
      <c r="AA643">
        <f>IF(K276="","",IF(K276="TABLE","",K276))</f>
        <v/>
      </c>
      <c r="AB643">
        <f>IF(ISNUMBER(SEARCH("기존변경필요",SUBSTITUTE(TRIM(V276),CHAR(10)," "))),"",
IFERROR(
  _xlfn.XLOOKUP(AA276,'기존 end point'!B:B,'기존 end point'!B:B,,0),
""))</f>
        <v/>
      </c>
    </row>
    <row r="644" hidden="1">
      <c r="A644" t="n">
        <v>275</v>
      </c>
      <c r="B644" t="inlineStr">
        <is>
          <t>gen-nx</t>
        </is>
      </c>
      <c r="C644" t="inlineStr">
        <is>
          <t>Static Loads</t>
        </is>
      </c>
      <c r="D644" t="inlineStr">
        <is>
          <t>Lateral</t>
        </is>
      </c>
      <c r="E644" t="inlineStr">
        <is>
          <t>Wind Pressure</t>
        </is>
      </c>
      <c r="F644" t="inlineStr">
        <is>
          <t>Velocity Pressure</t>
        </is>
      </c>
      <c r="T644" t="inlineStr">
        <is>
          <t>none</t>
        </is>
      </c>
      <c r="Z644">
        <f>IF(OR(K277="",K277="TABLE"),"",
_xlfn.TEXTJOIN(", ",TRUE,
IF(E277&lt;&gt;"",E277&amp;K277,""),
IF(F277&lt;&gt;"",F277&amp;K277,""),
IF(G277&lt;&gt;"",G277&amp;K277,"")
))</f>
        <v/>
      </c>
      <c r="AA644">
        <f>IF(K277="","",IF(K277="TABLE","",K277))</f>
        <v/>
      </c>
      <c r="AB644">
        <f>IF(ISNUMBER(SEARCH("기존변경필요",SUBSTITUTE(TRIM(V277),CHAR(10)," "))),"",
IFERROR(
  _xlfn.XLOOKUP(AA277,'기존 end point'!B:B,'기존 end point'!B:B,,0),
""))</f>
        <v/>
      </c>
    </row>
    <row r="645" hidden="1">
      <c r="A645" t="n">
        <v>276</v>
      </c>
      <c r="B645" t="inlineStr">
        <is>
          <t>gen-nx</t>
        </is>
      </c>
      <c r="C645" t="inlineStr">
        <is>
          <t>Static Loads</t>
        </is>
      </c>
      <c r="D645" t="inlineStr">
        <is>
          <t>Lateral</t>
        </is>
      </c>
      <c r="E645" t="inlineStr">
        <is>
          <t>Wind Pressure</t>
        </is>
      </c>
      <c r="F645" t="inlineStr">
        <is>
          <t>Wind Pressure Function</t>
        </is>
      </c>
      <c r="T645" t="inlineStr">
        <is>
          <t>none</t>
        </is>
      </c>
      <c r="Z645">
        <f>IF(OR(K278="",K278="TABLE"),"",
_xlfn.TEXTJOIN(", ",TRUE,
IF(E278&lt;&gt;"",E278&amp;K278,""),
IF(F278&lt;&gt;"",F278&amp;K278,""),
IF(G278&lt;&gt;"",G278&amp;K278,"")
))</f>
        <v/>
      </c>
      <c r="AA645">
        <f>IF(K278="","",IF(K278="TABLE","",K278))</f>
        <v/>
      </c>
      <c r="AB645">
        <f>IF(ISNUMBER(SEARCH("기존변경필요",SUBSTITUTE(TRIM(V278),CHAR(10)," "))),"",
IFERROR(
  _xlfn.XLOOKUP(AA278,'기존 end point'!B:B,'기존 end point'!B:B,,0),
""))</f>
        <v/>
      </c>
    </row>
    <row r="646" hidden="1">
      <c r="A646" t="n">
        <v>277</v>
      </c>
      <c r="B646" t="inlineStr">
        <is>
          <t>gen-nx</t>
        </is>
      </c>
      <c r="C646" t="inlineStr">
        <is>
          <t>Static Loads</t>
        </is>
      </c>
      <c r="D646" t="inlineStr">
        <is>
          <t>Lateral</t>
        </is>
      </c>
      <c r="E646" t="inlineStr">
        <is>
          <t>Wind Pressure</t>
        </is>
      </c>
      <c r="F646" t="inlineStr">
        <is>
          <t>Area Wind Pressure</t>
        </is>
      </c>
      <c r="T646" t="inlineStr">
        <is>
          <t>none</t>
        </is>
      </c>
      <c r="Z646">
        <f>IF(OR(K279="",K279="TABLE"),"",
_xlfn.TEXTJOIN(", ",TRUE,
IF(E279&lt;&gt;"",E279&amp;K279,""),
IF(F279&lt;&gt;"",F279&amp;K279,""),
IF(G279&lt;&gt;"",G279&amp;K279,"")
))</f>
        <v/>
      </c>
      <c r="AA646">
        <f>IF(K279="","",IF(K279="TABLE","",K279))</f>
        <v/>
      </c>
      <c r="AB646">
        <f>IF(ISNUMBER(SEARCH("기존변경필요",SUBSTITUTE(TRIM(V279),CHAR(10)," "))),"",
IFERROR(
  _xlfn.XLOOKUP(AA279,'기존 end point'!B:B,'기존 end point'!B:B,,0),
""))</f>
        <v/>
      </c>
    </row>
    <row r="647" hidden="1">
      <c r="A647" t="n">
        <v>278</v>
      </c>
      <c r="B647" t="inlineStr">
        <is>
          <t>gen-nx</t>
        </is>
      </c>
      <c r="C647" t="inlineStr">
        <is>
          <t>Static Loads</t>
        </is>
      </c>
      <c r="D647" t="inlineStr">
        <is>
          <t>Lateral</t>
        </is>
      </c>
      <c r="E647" t="inlineStr">
        <is>
          <t>Wind Pressure</t>
        </is>
      </c>
      <c r="F647" t="inlineStr">
        <is>
          <t>Beam Wind Pressure</t>
        </is>
      </c>
      <c r="T647" t="inlineStr">
        <is>
          <t>none</t>
        </is>
      </c>
      <c r="Z647">
        <f>IF(OR(K280="",K280="TABLE"),"",
_xlfn.TEXTJOIN(", ",TRUE,
IF(E280&lt;&gt;"",E280&amp;K280,""),
IF(F280&lt;&gt;"",F280&amp;K280,""),
IF(G280&lt;&gt;"",G280&amp;K280,"")
))</f>
        <v/>
      </c>
      <c r="AA647">
        <f>IF(K280="","",IF(K280="TABLE","",K280))</f>
        <v/>
      </c>
      <c r="AB647">
        <f>IF(ISNUMBER(SEARCH("기존변경필요",SUBSTITUTE(TRIM(V280),CHAR(10)," "))),"",
IFERROR(
  _xlfn.XLOOKUP(AA280,'기존 end point'!B:B,'기존 end point'!B:B,,0),
""))</f>
        <v/>
      </c>
    </row>
    <row r="648" hidden="1">
      <c r="A648" t="n">
        <v>279</v>
      </c>
      <c r="B648" t="inlineStr">
        <is>
          <t>gen-nx</t>
        </is>
      </c>
      <c r="C648" t="inlineStr">
        <is>
          <t>Static Loads</t>
        </is>
      </c>
      <c r="D648" t="inlineStr">
        <is>
          <t>Lateral</t>
        </is>
      </c>
      <c r="E648" t="inlineStr">
        <is>
          <t>Wind Pressure</t>
        </is>
      </c>
      <c r="F648" t="inlineStr">
        <is>
          <t>Nodal Wind Pressure</t>
        </is>
      </c>
      <c r="T648" t="inlineStr">
        <is>
          <t>none</t>
        </is>
      </c>
      <c r="Z648">
        <f>IF(OR(K281="",K281="TABLE"),"",
_xlfn.TEXTJOIN(", ",TRUE,
IF(E281&lt;&gt;"",E281&amp;K281,""),
IF(F281&lt;&gt;"",F281&amp;K281,""),
IF(G281&lt;&gt;"",G281&amp;K281,"")
))</f>
        <v/>
      </c>
      <c r="AA648">
        <f>IF(K281="","",IF(K281="TABLE","",K281))</f>
        <v/>
      </c>
      <c r="AB648">
        <f>IF(ISNUMBER(SEARCH("기존변경필요",SUBSTITUTE(TRIM(V281),CHAR(10)," "))),"",
IFERROR(
  _xlfn.XLOOKUP(AA281,'기존 end point'!B:B,'기존 end point'!B:B,,0),
""))</f>
        <v/>
      </c>
    </row>
    <row r="649">
      <c r="A649" t="n">
        <v>280</v>
      </c>
      <c r="B649" t="inlineStr">
        <is>
          <t>gen-nx</t>
        </is>
      </c>
      <c r="C649" t="inlineStr">
        <is>
          <t>Static Loads</t>
        </is>
      </c>
      <c r="D649" t="inlineStr">
        <is>
          <t>Lateral</t>
        </is>
      </c>
      <c r="E649" t="inlineStr">
        <is>
          <t>Wind Pressure</t>
        </is>
      </c>
      <c r="F649" t="inlineStr">
        <is>
          <t>Function Wind Pressure</t>
        </is>
      </c>
      <c r="T649" t="inlineStr">
        <is>
          <t>none</t>
        </is>
      </c>
      <c r="Z649">
        <f>IF(OR(K282="",K282="TABLE"),"",
_xlfn.TEXTJOIN(", ",TRUE,
IF(E282&lt;&gt;"",E282&amp;K282,""),
IF(F282&lt;&gt;"",F282&amp;K282,""),
IF(G282&lt;&gt;"",G282&amp;K282,"")
))</f>
        <v/>
      </c>
      <c r="AA649">
        <f>IF(K282="","",IF(K282="TABLE","",K282))</f>
        <v/>
      </c>
      <c r="AB649">
        <f>IF(ISNUMBER(SEARCH("기존변경필요",SUBSTITUTE(TRIM(V282),CHAR(10)," "))),"",
IFERROR(
  _xlfn.XLOOKUP(AA282,'기존 end point'!B:B,'기존 end point'!B:B,,0),
""))</f>
        <v/>
      </c>
    </row>
    <row r="650">
      <c r="A650" t="n">
        <v>281</v>
      </c>
      <c r="B650" t="inlineStr">
        <is>
          <t>gen-nx</t>
        </is>
      </c>
      <c r="C650" t="inlineStr">
        <is>
          <t>Static Loads</t>
        </is>
      </c>
      <c r="D650" t="inlineStr">
        <is>
          <t>Lateral</t>
        </is>
      </c>
      <c r="E650" t="inlineStr">
        <is>
          <t>Seismic Loads</t>
        </is>
      </c>
      <c r="T650" t="inlineStr">
        <is>
          <t>none</t>
        </is>
      </c>
      <c r="Z650">
        <f>IF(OR(K283="",K283="TABLE"),"",
_xlfn.TEXTJOIN(", ",TRUE,
IF(E283&lt;&gt;"",E283&amp;K283,""),
IF(F283&lt;&gt;"",F283&amp;K283,""),
IF(G283&lt;&gt;"",G283&amp;K283,"")
))</f>
        <v/>
      </c>
      <c r="AA650">
        <f>IF(K283="","",IF(K283="TABLE","",K283))</f>
        <v/>
      </c>
      <c r="AB650">
        <f>IF(ISNUMBER(SEARCH("기존변경필요",SUBSTITUTE(TRIM(V283),CHAR(10)," "))),"",
IFERROR(
  _xlfn.XLOOKUP(AA283,'기존 end point'!B:B,'기존 end point'!B:B,,0),
""))</f>
        <v/>
      </c>
    </row>
    <row r="651">
      <c r="A651" t="n">
        <v>282</v>
      </c>
      <c r="B651" t="inlineStr">
        <is>
          <t>civil-nx/gen-nx</t>
        </is>
      </c>
      <c r="C651" t="inlineStr">
        <is>
          <t>Static Loads</t>
        </is>
      </c>
      <c r="D651" t="inlineStr">
        <is>
          <t>Lateral</t>
        </is>
      </c>
      <c r="E651" t="inlineStr">
        <is>
          <t>Earth Pressure</t>
        </is>
      </c>
      <c r="F651" t="inlineStr">
        <is>
          <t>Parameters of Seismic Loads</t>
        </is>
      </c>
      <c r="H651" t="inlineStr">
        <is>
          <t>db</t>
        </is>
      </c>
      <c r="I651" t="inlineStr">
        <is>
          <t>posl</t>
        </is>
      </c>
      <c r="K651">
        <f>_xlfn.TEXTAFTER(L284,"/",-1)</f>
        <v/>
      </c>
      <c r="L651" t="inlineStr">
        <is>
          <t>/db/posl</t>
        </is>
      </c>
      <c r="M651" t="inlineStr">
        <is>
          <t>Parameter of Seismic Loads</t>
        </is>
      </c>
      <c r="N651" t="inlineStr">
        <is>
          <t>done</t>
        </is>
      </c>
      <c r="O651" t="inlineStr">
        <is>
          <t>done</t>
        </is>
      </c>
      <c r="P651" t="inlineStr">
        <is>
          <t>done</t>
        </is>
      </c>
      <c r="Q651" t="inlineStr">
        <is>
          <t>done</t>
        </is>
      </c>
      <c r="R651" t="inlineStr">
        <is>
          <t>done</t>
        </is>
      </c>
      <c r="S651" t="inlineStr">
        <is>
          <t>done</t>
        </is>
      </c>
      <c r="T651" t="inlineStr">
        <is>
          <t>Done</t>
        </is>
      </c>
      <c r="Z651">
        <f>IF(OR(K284="",K284="TABLE"),"",
_xlfn.TEXTJOIN(", ",TRUE,
IF(E284&lt;&gt;"",E284&amp;K284,""),
IF(F284&lt;&gt;"",F284&amp;K284,""),
IF(G284&lt;&gt;"",G284&amp;K284,"")
))</f>
        <v/>
      </c>
      <c r="AA651">
        <f>IF(K284="","",IF(K284="TABLE","",K284))</f>
        <v/>
      </c>
      <c r="AB651">
        <f>IF(ISNUMBER(SEARCH("기존변경필요",SUBSTITUTE(TRIM(V284),CHAR(10)," "))),"",
IFERROR(
  _xlfn.XLOOKUP(AA284,'기존 end point'!B:B,'기존 end point'!B:B,,0),
""))</f>
        <v/>
      </c>
    </row>
    <row r="652">
      <c r="A652" t="n">
        <v>283</v>
      </c>
      <c r="B652" t="inlineStr">
        <is>
          <t>civil-nx/gen-nx</t>
        </is>
      </c>
      <c r="C652" t="inlineStr">
        <is>
          <t>Static Loads</t>
        </is>
      </c>
      <c r="D652" t="inlineStr">
        <is>
          <t>Lateral</t>
        </is>
      </c>
      <c r="E652" t="inlineStr">
        <is>
          <t>Earth Pressure</t>
        </is>
      </c>
      <c r="F652" t="inlineStr">
        <is>
          <t>Parameters of Soil Properties</t>
        </is>
      </c>
      <c r="H652" t="inlineStr">
        <is>
          <t>db</t>
        </is>
      </c>
      <c r="I652" t="inlineStr">
        <is>
          <t>posp</t>
        </is>
      </c>
      <c r="K652">
        <f>_xlfn.TEXTAFTER(L285,"/",-1)</f>
        <v/>
      </c>
      <c r="L652" t="inlineStr">
        <is>
          <t>/db/posp</t>
        </is>
      </c>
      <c r="M652" t="inlineStr">
        <is>
          <t>Parameter of Soil Properties</t>
        </is>
      </c>
      <c r="N652" t="inlineStr">
        <is>
          <t>done</t>
        </is>
      </c>
      <c r="O652" t="inlineStr">
        <is>
          <t>done</t>
        </is>
      </c>
      <c r="P652" t="inlineStr">
        <is>
          <t>done</t>
        </is>
      </c>
      <c r="Q652" t="inlineStr">
        <is>
          <t>done</t>
        </is>
      </c>
      <c r="R652" t="inlineStr">
        <is>
          <t>done</t>
        </is>
      </c>
      <c r="S652" t="inlineStr">
        <is>
          <t>done</t>
        </is>
      </c>
      <c r="T652" t="inlineStr">
        <is>
          <t>Done</t>
        </is>
      </c>
      <c r="Z652">
        <f>IF(OR(K285="",K285="TABLE"),"",
_xlfn.TEXTJOIN(", ",TRUE,
IF(E285&lt;&gt;"",E285&amp;K285,""),
IF(F285&lt;&gt;"",F285&amp;K285,""),
IF(G285&lt;&gt;"",G285&amp;K285,"")
))</f>
        <v/>
      </c>
      <c r="AA652">
        <f>IF(K285="","",IF(K285="TABLE","",K285))</f>
        <v/>
      </c>
      <c r="AB652">
        <f>IF(ISNUMBER(SEARCH("기존변경필요",SUBSTITUTE(TRIM(V285),CHAR(10)," "))),"",
IFERROR(
  _xlfn.XLOOKUP(AA285,'기존 end point'!B:B,'기존 end point'!B:B,,0),
""))</f>
        <v/>
      </c>
    </row>
    <row r="653">
      <c r="A653" t="n">
        <v>284</v>
      </c>
      <c r="B653" t="inlineStr">
        <is>
          <t>civil-nx/gen-nx</t>
        </is>
      </c>
      <c r="C653" t="inlineStr">
        <is>
          <t>Static Loads</t>
        </is>
      </c>
      <c r="D653" t="inlineStr">
        <is>
          <t>Lateral</t>
        </is>
      </c>
      <c r="E653" t="inlineStr">
        <is>
          <t>Earth Pressure</t>
        </is>
      </c>
      <c r="F653" t="inlineStr">
        <is>
          <t>Seismic Earth Pressure</t>
        </is>
      </c>
      <c r="H653" t="inlineStr">
        <is>
          <t>db</t>
        </is>
      </c>
      <c r="I653" t="inlineStr">
        <is>
          <t>epse</t>
        </is>
      </c>
      <c r="K653">
        <f>_xlfn.TEXTAFTER(L286,"/",-1)</f>
        <v/>
      </c>
      <c r="L653" t="inlineStr">
        <is>
          <t>/db/epse</t>
        </is>
      </c>
      <c r="M653" t="inlineStr">
        <is>
          <t>Seismic Earth Pressure</t>
        </is>
      </c>
      <c r="N653" t="inlineStr">
        <is>
          <t>done</t>
        </is>
      </c>
      <c r="O653" t="inlineStr">
        <is>
          <t>done</t>
        </is>
      </c>
      <c r="P653" t="inlineStr">
        <is>
          <t>done</t>
        </is>
      </c>
      <c r="Q653" t="inlineStr">
        <is>
          <t>done</t>
        </is>
      </c>
      <c r="R653" t="inlineStr">
        <is>
          <t>done</t>
        </is>
      </c>
      <c r="S653" t="inlineStr">
        <is>
          <t>done</t>
        </is>
      </c>
      <c r="T653" t="inlineStr">
        <is>
          <t>Done</t>
        </is>
      </c>
      <c r="Z653">
        <f>IF(OR(K286="",K286="TABLE"),"",
_xlfn.TEXTJOIN(", ",TRUE,
IF(E286&lt;&gt;"",E286&amp;K286,""),
IF(F286&lt;&gt;"",F286&amp;K286,""),
IF(G286&lt;&gt;"",G286&amp;K286,"")
))</f>
        <v/>
      </c>
      <c r="AA653">
        <f>IF(K286="","",IF(K286="TABLE","",K286))</f>
        <v/>
      </c>
      <c r="AB653">
        <f>IF(ISNUMBER(SEARCH("기존변경필요",SUBSTITUTE(TRIM(V286),CHAR(10)," "))),"",
IFERROR(
  _xlfn.XLOOKUP(AA286,'기존 end point'!B:B,'기존 end point'!B:B,,0),
""))</f>
        <v/>
      </c>
    </row>
    <row r="654">
      <c r="A654" t="n">
        <v>285</v>
      </c>
      <c r="B654" t="inlineStr">
        <is>
          <t>gen-nx</t>
        </is>
      </c>
      <c r="C654" t="inlineStr">
        <is>
          <t>Static Loads</t>
        </is>
      </c>
      <c r="D654" t="inlineStr">
        <is>
          <t>Lateral</t>
        </is>
      </c>
      <c r="E654" t="inlineStr">
        <is>
          <t>Earth Pressure</t>
        </is>
      </c>
      <c r="F654" t="inlineStr">
        <is>
          <t>Static Earth Pressure</t>
        </is>
      </c>
      <c r="H654" t="inlineStr">
        <is>
          <t>db</t>
        </is>
      </c>
      <c r="I654" t="inlineStr">
        <is>
          <t>epst</t>
        </is>
      </c>
      <c r="K654">
        <f>_xlfn.TEXTAFTER(L287,"/",-1)</f>
        <v/>
      </c>
      <c r="L654" t="inlineStr">
        <is>
          <t>/db/epst</t>
        </is>
      </c>
      <c r="M654" t="inlineStr">
        <is>
          <t>Static Earth Pressure</t>
        </is>
      </c>
      <c r="N654" t="inlineStr">
        <is>
          <t>done</t>
        </is>
      </c>
      <c r="O654" t="inlineStr">
        <is>
          <t>done</t>
        </is>
      </c>
      <c r="P654" t="inlineStr">
        <is>
          <t>done</t>
        </is>
      </c>
      <c r="Q654" t="inlineStr">
        <is>
          <t>done</t>
        </is>
      </c>
      <c r="R654" t="inlineStr">
        <is>
          <t>done</t>
        </is>
      </c>
      <c r="S654" t="inlineStr">
        <is>
          <t>done</t>
        </is>
      </c>
      <c r="T654" t="inlineStr">
        <is>
          <t>Done</t>
        </is>
      </c>
      <c r="Z654">
        <f>IF(OR(K287="",K287="TABLE"),"",
_xlfn.TEXTJOIN(", ",TRUE,
IF(E287&lt;&gt;"",E287&amp;K287,""),
IF(F287&lt;&gt;"",F287&amp;K287,""),
IF(G287&lt;&gt;"",G287&amp;K287,"")
))</f>
        <v/>
      </c>
      <c r="AA654">
        <f>IF(K287="","",IF(K287="TABLE","",K287))</f>
        <v/>
      </c>
      <c r="AB654">
        <f>IF(ISNUMBER(SEARCH("기존변경필요",SUBSTITUTE(TRIM(V287),CHAR(10)," "))),"",
IFERROR(
  _xlfn.XLOOKUP(AA287,'기존 end point'!B:B,'기존 end point'!B:B,,0),
""))</f>
        <v/>
      </c>
    </row>
    <row r="655">
      <c r="A655" t="n">
        <v>286</v>
      </c>
      <c r="B655" t="inlineStr">
        <is>
          <t>civil-nx/gen-nx</t>
        </is>
      </c>
      <c r="C655" t="inlineStr">
        <is>
          <t>Static Loads</t>
        </is>
      </c>
      <c r="D655" t="inlineStr">
        <is>
          <t>Pressure Load</t>
        </is>
      </c>
      <c r="E655" t="inlineStr">
        <is>
          <t>Pressure Loads</t>
        </is>
      </c>
      <c r="F655" t="inlineStr">
        <is>
          <t>Define Pressure Load Type</t>
        </is>
      </c>
      <c r="H655" t="inlineStr">
        <is>
          <t>db</t>
        </is>
      </c>
      <c r="I655" t="inlineStr">
        <is>
          <t>pslt</t>
        </is>
      </c>
      <c r="K655">
        <f>_xlfn.TEXTAFTER(L288,"/",-1)</f>
        <v/>
      </c>
      <c r="L655" t="inlineStr">
        <is>
          <t>/db/pslt</t>
        </is>
      </c>
      <c r="M655" t="inlineStr">
        <is>
          <t>Define Pressure Load Type</t>
        </is>
      </c>
      <c r="N655" t="inlineStr">
        <is>
          <t>done</t>
        </is>
      </c>
      <c r="O655" t="inlineStr">
        <is>
          <t>done</t>
        </is>
      </c>
      <c r="P655" t="inlineStr">
        <is>
          <t>done</t>
        </is>
      </c>
      <c r="Q655" t="inlineStr">
        <is>
          <t>done</t>
        </is>
      </c>
      <c r="R655" t="inlineStr">
        <is>
          <t>done</t>
        </is>
      </c>
      <c r="S655" t="inlineStr">
        <is>
          <t>done</t>
        </is>
      </c>
      <c r="T655" t="inlineStr">
        <is>
          <t>Done</t>
        </is>
      </c>
      <c r="Z655">
        <f>IF(OR(K288="",K288="TABLE"),"",
_xlfn.TEXTJOIN(", ",TRUE,
IF(E288&lt;&gt;"",E288&amp;K288,""),
IF(F288&lt;&gt;"",F288&amp;K288,""),
IF(G288&lt;&gt;"",G288&amp;K288,"")
))</f>
        <v/>
      </c>
      <c r="AA655">
        <f>IF(K288="","",IF(K288="TABLE","",K288))</f>
        <v/>
      </c>
      <c r="AB655">
        <f>IF(ISNUMBER(SEARCH("기존변경필요",SUBSTITUTE(TRIM(V288),CHAR(10)," "))),"",
IFERROR(
  _xlfn.XLOOKUP(AA288,'기존 end point'!B:B,'기존 end point'!B:B,,0),
""))</f>
        <v/>
      </c>
    </row>
    <row r="656" hidden="1">
      <c r="A656" t="n">
        <v>287</v>
      </c>
      <c r="B656" t="inlineStr">
        <is>
          <t>civil-nx/gen-nx</t>
        </is>
      </c>
      <c r="C656" t="inlineStr">
        <is>
          <t>Project</t>
        </is>
      </c>
      <c r="D656" t="inlineStr">
        <is>
          <t>API</t>
        </is>
      </c>
      <c r="E656" t="inlineStr">
        <is>
          <t>Save</t>
        </is>
      </c>
      <c r="H656" t="inlineStr">
        <is>
          <t>doc</t>
        </is>
      </c>
      <c r="I656" t="inlineStr">
        <is>
          <t>saveas</t>
        </is>
      </c>
      <c r="K656">
        <f>_xlfn.TEXTAFTER(L289,"/",-1)</f>
        <v/>
      </c>
      <c r="L656" t="inlineStr">
        <is>
          <t>/doc/saveas</t>
        </is>
      </c>
      <c r="N656" t="inlineStr">
        <is>
          <t>done</t>
        </is>
      </c>
      <c r="O656" t="inlineStr">
        <is>
          <t>done</t>
        </is>
      </c>
      <c r="P656" t="inlineStr">
        <is>
          <t>done</t>
        </is>
      </c>
      <c r="Q656" t="inlineStr">
        <is>
          <t>done</t>
        </is>
      </c>
      <c r="R656" t="inlineStr">
        <is>
          <t>done</t>
        </is>
      </c>
      <c r="S656" t="inlineStr">
        <is>
          <t>done</t>
        </is>
      </c>
      <c r="T656" t="inlineStr">
        <is>
          <t>Done</t>
        </is>
      </c>
      <c r="Z656">
        <f>IF(OR(K289="",K289="TABLE"),"",
_xlfn.TEXTJOIN(", ",TRUE,
IF(E289&lt;&gt;"",E289&amp;K289,""),
IF(F289&lt;&gt;"",F289&amp;K289,""),
IF(G289&lt;&gt;"",G289&amp;K289,"")
))</f>
        <v/>
      </c>
      <c r="AA656">
        <f>IF(K289="","",IF(K289="TABLE","",K289))</f>
        <v/>
      </c>
      <c r="AB656">
        <f>IF(ISNUMBER(SEARCH("기존변경필요",SUBSTITUTE(TRIM(V289),CHAR(10)," "))),"",
IFERROR(
  _xlfn.XLOOKUP(AA289,'기존 end point'!B:B,'기존 end point'!B:B,,0),
""))</f>
        <v/>
      </c>
    </row>
    <row r="657">
      <c r="A657" t="n">
        <v>288</v>
      </c>
      <c r="B657" t="inlineStr">
        <is>
          <t>civil-nx/gen-nx</t>
        </is>
      </c>
      <c r="C657" t="inlineStr">
        <is>
          <t>Static Loads</t>
        </is>
      </c>
      <c r="D657" t="inlineStr">
        <is>
          <t>Pressure Load</t>
        </is>
      </c>
      <c r="E657" t="inlineStr">
        <is>
          <t>Pressure Loads</t>
        </is>
      </c>
      <c r="F657" t="inlineStr">
        <is>
          <t>Assign Pressure Loads</t>
        </is>
      </c>
      <c r="H657" t="inlineStr">
        <is>
          <t>db</t>
        </is>
      </c>
      <c r="I657" t="inlineStr">
        <is>
          <t>pres</t>
        </is>
      </c>
      <c r="K657">
        <f>_xlfn.TEXTAFTER(L290,"/",-1)</f>
        <v/>
      </c>
      <c r="L657" t="inlineStr">
        <is>
          <t>/db/pres</t>
        </is>
      </c>
      <c r="M657" t="inlineStr">
        <is>
          <t>Assign Pressure Loads</t>
        </is>
      </c>
      <c r="N657" t="inlineStr">
        <is>
          <t>done</t>
        </is>
      </c>
      <c r="O657" t="inlineStr">
        <is>
          <t>done</t>
        </is>
      </c>
      <c r="P657" t="inlineStr">
        <is>
          <t>done</t>
        </is>
      </c>
      <c r="Q657" t="inlineStr">
        <is>
          <t>done</t>
        </is>
      </c>
      <c r="R657" t="inlineStr">
        <is>
          <t>done</t>
        </is>
      </c>
      <c r="S657" t="inlineStr">
        <is>
          <t>done</t>
        </is>
      </c>
      <c r="T657" t="inlineStr">
        <is>
          <t>Done</t>
        </is>
      </c>
      <c r="Z657">
        <f>IF(OR(K290="",K290="TABLE"),"",
_xlfn.TEXTJOIN(", ",TRUE,
IF(E290&lt;&gt;"",E290&amp;K290,""),
IF(F290&lt;&gt;"",F290&amp;K290,""),
IF(G290&lt;&gt;"",G290&amp;K290,"")
))</f>
        <v/>
      </c>
      <c r="AA657">
        <f>IF(K290="","",IF(K290="TABLE","",K290))</f>
        <v/>
      </c>
      <c r="AB657">
        <f>IF(ISNUMBER(SEARCH("기존변경필요",SUBSTITUTE(TRIM(V290),CHAR(10)," "))),"",
IFERROR(
  _xlfn.XLOOKUP(AA290,'기존 end point'!B:B,'기존 end point'!B:B,,0),
""))</f>
        <v/>
      </c>
    </row>
    <row r="658" hidden="1">
      <c r="A658" t="n">
        <v>289</v>
      </c>
      <c r="B658" t="inlineStr">
        <is>
          <t>gen-nx</t>
        </is>
      </c>
      <c r="C658" t="inlineStr">
        <is>
          <t>Static Loads</t>
        </is>
      </c>
      <c r="D658" t="inlineStr">
        <is>
          <t>Pressure Load</t>
        </is>
      </c>
      <c r="E658" t="inlineStr">
        <is>
          <t>Pressure Loads</t>
        </is>
      </c>
      <c r="F658" t="inlineStr">
        <is>
          <t>Assign Area Pressure Loads</t>
        </is>
      </c>
      <c r="T658" t="inlineStr">
        <is>
          <t>none</t>
        </is>
      </c>
      <c r="Z658">
        <f>IF(OR(K291="",K291="TABLE"),"",
_xlfn.TEXTJOIN(", ",TRUE,
IF(E291&lt;&gt;"",E291&amp;K291,""),
IF(F291&lt;&gt;"",F291&amp;K291,""),
IF(G291&lt;&gt;"",G291&amp;K291,"")
))</f>
        <v/>
      </c>
      <c r="AA658">
        <f>IF(K291="","",IF(K291="TABLE","",K291))</f>
        <v/>
      </c>
      <c r="AB658">
        <f>IF(ISNUMBER(SEARCH("기존변경필요",SUBSTITUTE(TRIM(V291),CHAR(10)," "))),"",
IFERROR(
  _xlfn.XLOOKUP(AA291,'기존 end point'!B:B,'기존 end point'!B:B,,0),
""))</f>
        <v/>
      </c>
    </row>
    <row r="659" hidden="1">
      <c r="A659" t="n">
        <v>290</v>
      </c>
      <c r="B659" t="inlineStr">
        <is>
          <t>civil-nx/gen-nx</t>
        </is>
      </c>
      <c r="C659" t="inlineStr">
        <is>
          <t>Static Loads</t>
        </is>
      </c>
      <c r="D659" t="inlineStr">
        <is>
          <t>Pressure Load</t>
        </is>
      </c>
      <c r="E659" t="inlineStr">
        <is>
          <t>Hydrostatic Pressure</t>
        </is>
      </c>
      <c r="T659" t="inlineStr">
        <is>
          <t>none</t>
        </is>
      </c>
      <c r="Z659">
        <f>IF(OR(K292="",K292="TABLE"),"",
_xlfn.TEXTJOIN(", ",TRUE,
IF(E292&lt;&gt;"",E292&amp;K292,""),
IF(F292&lt;&gt;"",F292&amp;K292,""),
IF(G292&lt;&gt;"",G292&amp;K292,"")
))</f>
        <v/>
      </c>
      <c r="AA659">
        <f>IF(K292="","",IF(K292="TABLE","",K292))</f>
        <v/>
      </c>
      <c r="AB659">
        <f>IF(ISNUMBER(SEARCH("기존변경필요",SUBSTITUTE(TRIM(V292),CHAR(10)," "))),"",
IFERROR(
  _xlfn.XLOOKUP(AA292,'기존 end point'!B:B,'기존 end point'!B:B,,0),
""))</f>
        <v/>
      </c>
    </row>
    <row r="660" ht="34.5" customHeight="1">
      <c r="A660" t="n">
        <v>291</v>
      </c>
      <c r="B660" t="inlineStr">
        <is>
          <t>civil-nx/gen-nx</t>
        </is>
      </c>
      <c r="C660" t="inlineStr">
        <is>
          <t>Static Loads</t>
        </is>
      </c>
      <c r="D660" t="inlineStr">
        <is>
          <t>Pressure Load</t>
        </is>
      </c>
      <c r="E660" t="inlineStr">
        <is>
          <t>Assign Plane Loads</t>
        </is>
      </c>
      <c r="F660" t="inlineStr">
        <is>
          <t>Define Plane Load Type</t>
        </is>
      </c>
      <c r="H660" t="inlineStr">
        <is>
          <t>db</t>
        </is>
      </c>
      <c r="I660" t="inlineStr">
        <is>
          <t>pnld</t>
        </is>
      </c>
      <c r="K660">
        <f>_xlfn.TEXTAFTER(L293,"/",-1)</f>
        <v/>
      </c>
      <c r="L660" t="inlineStr">
        <is>
          <t>/db/pnld</t>
        </is>
      </c>
      <c r="M660" t="inlineStr">
        <is>
          <t>Define Plane Load Type</t>
        </is>
      </c>
      <c r="N660" t="inlineStr">
        <is>
          <t>done</t>
        </is>
      </c>
      <c r="O660" t="inlineStr">
        <is>
          <t>done</t>
        </is>
      </c>
      <c r="P660" t="inlineStr">
        <is>
          <t>done</t>
        </is>
      </c>
      <c r="Q660" t="inlineStr">
        <is>
          <t>done</t>
        </is>
      </c>
      <c r="R660" t="inlineStr">
        <is>
          <t>done</t>
        </is>
      </c>
      <c r="S660" t="inlineStr">
        <is>
          <t>done</t>
        </is>
      </c>
      <c r="T660" t="inlineStr">
        <is>
          <t>Done</t>
        </is>
      </c>
      <c r="Z660">
        <f>IF(OR(K293="",K293="TABLE"),"",
_xlfn.TEXTJOIN(", ",TRUE,
IF(E293&lt;&gt;"",E293&amp;K293,""),
IF(F293&lt;&gt;"",F293&amp;K293,""),
IF(G293&lt;&gt;"",G293&amp;K293,"")
))</f>
        <v/>
      </c>
      <c r="AA660">
        <f>IF(K293="","",IF(K293="TABLE","",K293))</f>
        <v/>
      </c>
      <c r="AB660">
        <f>IF(ISNUMBER(SEARCH("기존변경필요",SUBSTITUTE(TRIM(V293),CHAR(10)," "))),"",
IFERROR(
  _xlfn.XLOOKUP(AA293,'기존 end point'!B:B,'기존 end point'!B:B,,0),
""))</f>
        <v/>
      </c>
    </row>
    <row r="661">
      <c r="A661" t="n">
        <v>292</v>
      </c>
      <c r="B661" t="inlineStr">
        <is>
          <t>civil-nx/gen-nx</t>
        </is>
      </c>
      <c r="C661" t="inlineStr">
        <is>
          <t>Static Loads</t>
        </is>
      </c>
      <c r="D661" t="inlineStr">
        <is>
          <t>Pressure Load</t>
        </is>
      </c>
      <c r="E661" t="inlineStr">
        <is>
          <t>Assign Plane Loads</t>
        </is>
      </c>
      <c r="F661" t="inlineStr">
        <is>
          <t>Assign Plane Loads</t>
        </is>
      </c>
      <c r="H661" t="inlineStr">
        <is>
          <t>db</t>
        </is>
      </c>
      <c r="I661" t="inlineStr">
        <is>
          <t>pnla</t>
        </is>
      </c>
      <c r="K661">
        <f>_xlfn.TEXTAFTER(L294,"/",-1)</f>
        <v/>
      </c>
      <c r="L661" t="inlineStr">
        <is>
          <t>/db/pnla</t>
        </is>
      </c>
      <c r="M661" t="inlineStr">
        <is>
          <t>Assign Plane Loads</t>
        </is>
      </c>
      <c r="N661" t="inlineStr">
        <is>
          <t>done</t>
        </is>
      </c>
      <c r="O661" t="inlineStr">
        <is>
          <t>done</t>
        </is>
      </c>
      <c r="P661" t="inlineStr">
        <is>
          <t>done</t>
        </is>
      </c>
      <c r="Q661" t="inlineStr">
        <is>
          <t>done</t>
        </is>
      </c>
      <c r="R661" t="inlineStr">
        <is>
          <t>done</t>
        </is>
      </c>
      <c r="S661" t="inlineStr">
        <is>
          <t>done</t>
        </is>
      </c>
      <c r="T661" t="inlineStr">
        <is>
          <t>Done</t>
        </is>
      </c>
      <c r="Z661">
        <f>IF(OR(K294="",K294="TABLE"),"",
_xlfn.TEXTJOIN(", ",TRUE,
IF(E294&lt;&gt;"",E294&amp;K294,""),
IF(F294&lt;&gt;"",F294&amp;K294,""),
IF(G294&lt;&gt;"",G294&amp;K294,"")
))</f>
        <v/>
      </c>
      <c r="AA661">
        <f>IF(K294="","",IF(K294="TABLE","",K294))</f>
        <v/>
      </c>
      <c r="AB661">
        <f>IF(ISNUMBER(SEARCH("기존변경필요",SUBSTITUTE(TRIM(V294),CHAR(10)," "))),"",
IFERROR(
  _xlfn.XLOOKUP(AA294,'기존 end point'!B:B,'기존 end point'!B:B,,0),
""))</f>
        <v/>
      </c>
    </row>
    <row r="662">
      <c r="A662" t="n">
        <v>293</v>
      </c>
      <c r="B662" t="inlineStr">
        <is>
          <t>civil-nx/gen-nx</t>
        </is>
      </c>
      <c r="C662" t="inlineStr">
        <is>
          <t>Static Loads</t>
        </is>
      </c>
      <c r="D662" t="inlineStr">
        <is>
          <t>Advanced</t>
        </is>
      </c>
      <c r="E662" t="inlineStr">
        <is>
          <t>Assign Floor Loads</t>
        </is>
      </c>
      <c r="F662" t="inlineStr">
        <is>
          <t>Define Floor Load Type</t>
        </is>
      </c>
      <c r="H662" t="inlineStr">
        <is>
          <t>db</t>
        </is>
      </c>
      <c r="I662" t="inlineStr">
        <is>
          <t>fbld</t>
        </is>
      </c>
      <c r="K662">
        <f>_xlfn.TEXTAFTER(L295,"/",-1)</f>
        <v/>
      </c>
      <c r="L662" t="inlineStr">
        <is>
          <t>/db/fbld</t>
        </is>
      </c>
      <c r="M662" t="inlineStr">
        <is>
          <t>Define Floor Load Type</t>
        </is>
      </c>
      <c r="N662" t="inlineStr">
        <is>
          <t>done</t>
        </is>
      </c>
      <c r="O662" t="inlineStr">
        <is>
          <t>done</t>
        </is>
      </c>
      <c r="P662" t="inlineStr">
        <is>
          <t>done</t>
        </is>
      </c>
      <c r="Q662" t="inlineStr">
        <is>
          <t>done</t>
        </is>
      </c>
      <c r="R662" t="inlineStr">
        <is>
          <t>done</t>
        </is>
      </c>
      <c r="S662" t="inlineStr">
        <is>
          <t>done</t>
        </is>
      </c>
      <c r="T662" t="inlineStr">
        <is>
          <t>Done</t>
        </is>
      </c>
      <c r="Z662">
        <f>IF(OR(K295="",K295="TABLE"),"",
_xlfn.TEXTJOIN(", ",TRUE,
IF(E295&lt;&gt;"",E295&amp;K295,""),
IF(F295&lt;&gt;"",F295&amp;K295,""),
IF(G295&lt;&gt;"",G295&amp;K295,"")
))</f>
        <v/>
      </c>
      <c r="AA662">
        <f>IF(K295="","",IF(K295="TABLE","",K295))</f>
        <v/>
      </c>
      <c r="AB662">
        <f>IF(ISNUMBER(SEARCH("기존변경필요",SUBSTITUTE(TRIM(V295),CHAR(10)," "))),"",
IFERROR(
  _xlfn.XLOOKUP(AA295,'기존 end point'!B:B,'기존 end point'!B:B,,0),
""))</f>
        <v/>
      </c>
    </row>
    <row r="663">
      <c r="A663" t="n">
        <v>294</v>
      </c>
      <c r="B663" t="inlineStr">
        <is>
          <t>civil-nx/gen-nx</t>
        </is>
      </c>
      <c r="C663" t="inlineStr">
        <is>
          <t>Static Loads</t>
        </is>
      </c>
      <c r="D663" t="inlineStr">
        <is>
          <t>Advanced</t>
        </is>
      </c>
      <c r="E663" t="inlineStr">
        <is>
          <t>Assign Floor Loads</t>
        </is>
      </c>
      <c r="F663" t="inlineStr">
        <is>
          <t>Assign Floor Loads</t>
        </is>
      </c>
      <c r="H663" t="inlineStr">
        <is>
          <t>db</t>
        </is>
      </c>
      <c r="I663" t="inlineStr">
        <is>
          <t>fbla</t>
        </is>
      </c>
      <c r="K663">
        <f>_xlfn.TEXTAFTER(L296,"/",-1)</f>
        <v/>
      </c>
      <c r="L663" t="inlineStr">
        <is>
          <t>/db/fbla</t>
        </is>
      </c>
      <c r="M663" t="inlineStr">
        <is>
          <t>Assign Floor Loads</t>
        </is>
      </c>
      <c r="N663" t="inlineStr">
        <is>
          <t>done</t>
        </is>
      </c>
      <c r="O663" t="inlineStr">
        <is>
          <t>done</t>
        </is>
      </c>
      <c r="P663" t="inlineStr">
        <is>
          <t>done</t>
        </is>
      </c>
      <c r="Q663" t="inlineStr">
        <is>
          <t>done</t>
        </is>
      </c>
      <c r="R663" t="inlineStr">
        <is>
          <t>done</t>
        </is>
      </c>
      <c r="S663" t="inlineStr">
        <is>
          <t>done</t>
        </is>
      </c>
      <c r="T663" t="inlineStr">
        <is>
          <t>Done</t>
        </is>
      </c>
      <c r="Z663">
        <f>IF(OR(K296="",K296="TABLE"),"",
_xlfn.TEXTJOIN(", ",TRUE,
IF(E296&lt;&gt;"",E296&amp;K296,""),
IF(F296&lt;&gt;"",F296&amp;K296,""),
IF(G296&lt;&gt;"",G296&amp;K296,"")
))</f>
        <v/>
      </c>
      <c r="AA663">
        <f>IF(K296="","",IF(K296="TABLE","",K296))</f>
        <v/>
      </c>
      <c r="AB663">
        <f>IF(ISNUMBER(SEARCH("기존변경필요",SUBSTITUTE(TRIM(V296),CHAR(10)," "))),"",
IFERROR(
  _xlfn.XLOOKUP(AA296,'기존 end point'!B:B,'기존 end point'!B:B,,0),
""))</f>
        <v/>
      </c>
    </row>
    <row r="664" hidden="1">
      <c r="A664" t="n">
        <v>295</v>
      </c>
      <c r="B664" t="inlineStr">
        <is>
          <t>civil-nx/gen-nx</t>
        </is>
      </c>
      <c r="C664" t="inlineStr">
        <is>
          <t>Static Loads</t>
        </is>
      </c>
      <c r="D664" t="inlineStr">
        <is>
          <t>Advanced</t>
        </is>
      </c>
      <c r="E664" t="inlineStr">
        <is>
          <t>Finishing Material Loads</t>
        </is>
      </c>
      <c r="H664" t="inlineStr">
        <is>
          <t>db</t>
        </is>
      </c>
      <c r="I664" t="inlineStr">
        <is>
          <t>fmld</t>
        </is>
      </c>
      <c r="K664">
        <f>_xlfn.TEXTAFTER(L297,"/",-1)</f>
        <v/>
      </c>
      <c r="L664" t="inlineStr">
        <is>
          <t>/db/fmld</t>
        </is>
      </c>
      <c r="M664" t="inlineStr">
        <is>
          <t>Finishing Material Loads</t>
        </is>
      </c>
      <c r="N664" t="inlineStr">
        <is>
          <t>done</t>
        </is>
      </c>
      <c r="O664" t="inlineStr">
        <is>
          <t>done</t>
        </is>
      </c>
      <c r="P664" t="inlineStr">
        <is>
          <t>done</t>
        </is>
      </c>
      <c r="Q664" t="inlineStr">
        <is>
          <t>done</t>
        </is>
      </c>
      <c r="R664" t="inlineStr">
        <is>
          <t>done</t>
        </is>
      </c>
      <c r="S664" t="inlineStr">
        <is>
          <t>done</t>
        </is>
      </c>
      <c r="T664" t="inlineStr">
        <is>
          <t>Done</t>
        </is>
      </c>
      <c r="Z664">
        <f>IF(OR(K297="",K297="TABLE"),"",
_xlfn.TEXTJOIN(", ",TRUE,
IF(E297&lt;&gt;"",E297&amp;K297,""),
IF(F297&lt;&gt;"",F297&amp;K297,""),
IF(G297&lt;&gt;"",G297&amp;K297,"")
))</f>
        <v/>
      </c>
      <c r="AA664">
        <f>IF(K297="","",IF(K297="TABLE","",K297))</f>
        <v/>
      </c>
      <c r="AB664">
        <f>IF(ISNUMBER(SEARCH("기존변경필요",SUBSTITUTE(TRIM(V297),CHAR(10)," "))),"",
IFERROR(
  _xlfn.XLOOKUP(AA297,'기존 end point'!B:B,'기존 end point'!B:B,,0),
""))</f>
        <v/>
      </c>
    </row>
    <row r="665" hidden="1">
      <c r="A665" t="n">
        <v>296</v>
      </c>
      <c r="B665" t="inlineStr">
        <is>
          <t>gen-nx</t>
        </is>
      </c>
      <c r="C665" t="inlineStr">
        <is>
          <t>Static Loads</t>
        </is>
      </c>
      <c r="D665" t="inlineStr">
        <is>
          <t>Advanced</t>
        </is>
      </c>
      <c r="E665" t="inlineStr">
        <is>
          <t>Loading Area Plane</t>
        </is>
      </c>
      <c r="T665" t="inlineStr">
        <is>
          <t>none</t>
        </is>
      </c>
      <c r="Z665">
        <f>IF(OR(K298="",K298="TABLE"),"",
_xlfn.TEXTJOIN(", ",TRUE,
IF(E298&lt;&gt;"",E298&amp;K298,""),
IF(F298&lt;&gt;"",F298&amp;K298,""),
IF(G298&lt;&gt;"",G298&amp;K298,"")
))</f>
        <v/>
      </c>
      <c r="AA665">
        <f>IF(K298="","",IF(K298="TABLE","",K298))</f>
        <v/>
      </c>
      <c r="AB665">
        <f>IF(ISNUMBER(SEARCH("기존변경필요",SUBSTITUTE(TRIM(V298),CHAR(10)," "))),"",
IFERROR(
  _xlfn.XLOOKUP(AA298,'기존 end point'!B:B,'기존 end point'!B:B,,0),
""))</f>
        <v/>
      </c>
    </row>
    <row r="666">
      <c r="A666" t="n">
        <v>297</v>
      </c>
      <c r="B666" t="inlineStr">
        <is>
          <t>civil-nx/gen-nx</t>
        </is>
      </c>
      <c r="C666" t="inlineStr">
        <is>
          <t>Static Loads</t>
        </is>
      </c>
      <c r="D666" t="inlineStr">
        <is>
          <t>Load Tables</t>
        </is>
      </c>
      <c r="E666" t="inlineStr">
        <is>
          <t>Static Load</t>
        </is>
      </c>
      <c r="F666" t="inlineStr">
        <is>
          <t>Nodal Body Force</t>
        </is>
      </c>
      <c r="T666" t="inlineStr">
        <is>
          <t>none</t>
        </is>
      </c>
      <c r="Z666">
        <f>IF(OR(K299="",K299="TABLE"),"",
_xlfn.TEXTJOIN(", ",TRUE,
IF(E299&lt;&gt;"",E299&amp;K299,""),
IF(F299&lt;&gt;"",F299&amp;K299,""),
IF(G299&lt;&gt;"",G299&amp;K299,"")
))</f>
        <v/>
      </c>
      <c r="AA666">
        <f>IF(K299="","",IF(K299="TABLE","",K299))</f>
        <v/>
      </c>
      <c r="AB666">
        <f>IF(ISNUMBER(SEARCH("기존변경필요",SUBSTITUTE(TRIM(V299),CHAR(10)," "))),"",
IFERROR(
  _xlfn.XLOOKUP(AA299,'기존 end point'!B:B,'기존 end point'!B:B,,0),
""))</f>
        <v/>
      </c>
    </row>
    <row r="667">
      <c r="A667" t="n">
        <v>298</v>
      </c>
      <c r="B667" t="inlineStr">
        <is>
          <t>civil-nx/gen-nx</t>
        </is>
      </c>
      <c r="C667" t="inlineStr">
        <is>
          <t>Static Loads</t>
        </is>
      </c>
      <c r="D667" t="inlineStr">
        <is>
          <t>Load Tables</t>
        </is>
      </c>
      <c r="E667" t="inlineStr">
        <is>
          <t>Static Load</t>
        </is>
      </c>
      <c r="F667" t="inlineStr">
        <is>
          <t>Nodal Masses</t>
        </is>
      </c>
      <c r="T667" t="inlineStr">
        <is>
          <t>none</t>
        </is>
      </c>
      <c r="Z667">
        <f>IF(OR(K300="",K300="TABLE"),"",
_xlfn.TEXTJOIN(", ",TRUE,
IF(E300&lt;&gt;"",E300&amp;K300,""),
IF(F300&lt;&gt;"",F300&amp;K300,""),
IF(G300&lt;&gt;"",G300&amp;K300,"")
))</f>
        <v/>
      </c>
      <c r="AA667">
        <f>IF(K300="","",IF(K300="TABLE","",K300))</f>
        <v/>
      </c>
      <c r="AB667">
        <f>IF(ISNUMBER(SEARCH("기존변경필요",SUBSTITUTE(TRIM(V300),CHAR(10)," "))),"",
IFERROR(
  _xlfn.XLOOKUP(AA300,'기존 end point'!B:B,'기존 end point'!B:B,,0),
""))</f>
        <v/>
      </c>
    </row>
    <row r="668" hidden="1">
      <c r="A668" t="n">
        <v>299</v>
      </c>
      <c r="B668" t="inlineStr">
        <is>
          <t>civil-nx/gen-nx</t>
        </is>
      </c>
      <c r="C668" t="inlineStr">
        <is>
          <t>Static Loads</t>
        </is>
      </c>
      <c r="D668" t="inlineStr">
        <is>
          <t>Load Tables</t>
        </is>
      </c>
      <c r="E668" t="inlineStr">
        <is>
          <t>Static Load</t>
        </is>
      </c>
      <c r="F668" t="inlineStr">
        <is>
          <t>Nodal Loads</t>
        </is>
      </c>
      <c r="T668" t="inlineStr">
        <is>
          <t>none</t>
        </is>
      </c>
      <c r="Z668">
        <f>IF(OR(K301="",K301="TABLE"),"",
_xlfn.TEXTJOIN(", ",TRUE,
IF(E301&lt;&gt;"",E301&amp;K301,""),
IF(F301&lt;&gt;"",F301&amp;K301,""),
IF(G301&lt;&gt;"",G301&amp;K301,"")
))</f>
        <v/>
      </c>
      <c r="AA668">
        <f>IF(K301="","",IF(K301="TABLE","",K301))</f>
        <v/>
      </c>
      <c r="AB668">
        <f>IF(ISNUMBER(SEARCH("기존변경필요",SUBSTITUTE(TRIM(V301),CHAR(10)," "))),"",
IFERROR(
  _xlfn.XLOOKUP(AA301,'기존 end point'!B:B,'기존 end point'!B:B,,0),
""))</f>
        <v/>
      </c>
    </row>
    <row r="669">
      <c r="A669" t="n">
        <v>300</v>
      </c>
      <c r="B669" t="inlineStr">
        <is>
          <t>civil-nx/gen-nx</t>
        </is>
      </c>
      <c r="C669" t="inlineStr">
        <is>
          <t>Static Loads</t>
        </is>
      </c>
      <c r="D669" t="inlineStr">
        <is>
          <t>Load Tables</t>
        </is>
      </c>
      <c r="E669" t="inlineStr">
        <is>
          <t>Static Load</t>
        </is>
      </c>
      <c r="F669" t="inlineStr">
        <is>
          <t>Specified Displacements</t>
        </is>
      </c>
      <c r="T669" t="inlineStr">
        <is>
          <t>none</t>
        </is>
      </c>
      <c r="Z669">
        <f>IF(OR(K302="",K302="TABLE"),"",
_xlfn.TEXTJOIN(", ",TRUE,
IF(E302&lt;&gt;"",E302&amp;K302,""),
IF(F302&lt;&gt;"",F302&amp;K302,""),
IF(G302&lt;&gt;"",G302&amp;K302,"")
))</f>
        <v/>
      </c>
      <c r="AA669">
        <f>IF(K302="","",IF(K302="TABLE","",K302))</f>
        <v/>
      </c>
      <c r="AB669">
        <f>IF(ISNUMBER(SEARCH("기존변경필요",SUBSTITUTE(TRIM(V302),CHAR(10)," "))),"",
IFERROR(
  _xlfn.XLOOKUP(AA302,'기존 end point'!B:B,'기존 end point'!B:B,,0),
""))</f>
        <v/>
      </c>
    </row>
    <row r="670">
      <c r="A670" t="n">
        <v>301</v>
      </c>
      <c r="B670" t="inlineStr">
        <is>
          <t>civil-nx/gen-nx</t>
        </is>
      </c>
      <c r="C670" t="inlineStr">
        <is>
          <t>Static Loads</t>
        </is>
      </c>
      <c r="D670" t="inlineStr">
        <is>
          <t>Load Tables</t>
        </is>
      </c>
      <c r="E670" t="inlineStr">
        <is>
          <t>Static Load</t>
        </is>
      </c>
      <c r="F670" t="inlineStr">
        <is>
          <t>Beam Loads</t>
        </is>
      </c>
      <c r="T670" t="inlineStr">
        <is>
          <t>none</t>
        </is>
      </c>
      <c r="Z670">
        <f>IF(OR(K303="",K303="TABLE"),"",
_xlfn.TEXTJOIN(", ",TRUE,
IF(E303&lt;&gt;"",E303&amp;K303,""),
IF(F303&lt;&gt;"",F303&amp;K303,""),
IF(G303&lt;&gt;"",G303&amp;K303,"")
))</f>
        <v/>
      </c>
      <c r="AA670">
        <f>IF(K303="","",IF(K303="TABLE","",K303))</f>
        <v/>
      </c>
      <c r="AB670">
        <f>IF(ISNUMBER(SEARCH("기존변경필요",SUBSTITUTE(TRIM(V303),CHAR(10)," "))),"",
IFERROR(
  _xlfn.XLOOKUP(AA303,'기존 end point'!B:B,'기존 end point'!B:B,,0),
""))</f>
        <v/>
      </c>
    </row>
    <row r="671">
      <c r="A671" t="n">
        <v>302</v>
      </c>
      <c r="B671" t="inlineStr">
        <is>
          <t>civil-nx/gen-nx</t>
        </is>
      </c>
      <c r="C671" t="inlineStr">
        <is>
          <t>Static Loads</t>
        </is>
      </c>
      <c r="D671" t="inlineStr">
        <is>
          <t>Load Tables</t>
        </is>
      </c>
      <c r="E671" t="inlineStr">
        <is>
          <t>Static Load</t>
        </is>
      </c>
      <c r="F671" t="inlineStr">
        <is>
          <t>Floor Load Type</t>
        </is>
      </c>
      <c r="T671" t="inlineStr">
        <is>
          <t>none</t>
        </is>
      </c>
      <c r="Z671">
        <f>IF(OR(K304="",K304="TABLE"),"",
_xlfn.TEXTJOIN(", ",TRUE,
IF(E304&lt;&gt;"",E304&amp;K304,""),
IF(F304&lt;&gt;"",F304&amp;K304,""),
IF(G304&lt;&gt;"",G304&amp;K304,"")
))</f>
        <v/>
      </c>
      <c r="AA671">
        <f>IF(K304="","",IF(K304="TABLE","",K304))</f>
        <v/>
      </c>
      <c r="AB671">
        <f>IF(ISNUMBER(SEARCH("기존변경필요",SUBSTITUTE(TRIM(V304),CHAR(10)," "))),"",
IFERROR(
  _xlfn.XLOOKUP(AA304,'기존 end point'!B:B,'기존 end point'!B:B,,0),
""))</f>
        <v/>
      </c>
    </row>
    <row r="672">
      <c r="A672" t="n">
        <v>303</v>
      </c>
      <c r="B672" t="inlineStr">
        <is>
          <t>civil-nx/gen-nx</t>
        </is>
      </c>
      <c r="C672" t="inlineStr">
        <is>
          <t>Static Loads</t>
        </is>
      </c>
      <c r="D672" t="inlineStr">
        <is>
          <t>Load Tables</t>
        </is>
      </c>
      <c r="E672" t="inlineStr">
        <is>
          <t>Static Load</t>
        </is>
      </c>
      <c r="F672" t="inlineStr">
        <is>
          <t>Floor Loads</t>
        </is>
      </c>
      <c r="T672" t="inlineStr">
        <is>
          <t>none</t>
        </is>
      </c>
      <c r="Z672">
        <f>IF(OR(K305="",K305="TABLE"),"",
_xlfn.TEXTJOIN(", ",TRUE,
IF(E305&lt;&gt;"",E305&amp;K305,""),
IF(F305&lt;&gt;"",F305&amp;K305,""),
IF(G305&lt;&gt;"",G305&amp;K305,"")
))</f>
        <v/>
      </c>
      <c r="AA672">
        <f>IF(K305="","",IF(K305="TABLE","",K305))</f>
        <v/>
      </c>
      <c r="AB672">
        <f>IF(ISNUMBER(SEARCH("기존변경필요",SUBSTITUTE(TRIM(V305),CHAR(10)," "))),"",
IFERROR(
  _xlfn.XLOOKUP(AA305,'기존 end point'!B:B,'기존 end point'!B:B,,0),
""))</f>
        <v/>
      </c>
    </row>
    <row r="673">
      <c r="A673" t="n">
        <v>304</v>
      </c>
      <c r="B673" t="inlineStr">
        <is>
          <t>civil-nx/gen-nx</t>
        </is>
      </c>
      <c r="C673" t="inlineStr">
        <is>
          <t>Static Loads</t>
        </is>
      </c>
      <c r="D673" t="inlineStr">
        <is>
          <t>Load Tables</t>
        </is>
      </c>
      <c r="E673" t="inlineStr">
        <is>
          <t>Static Load</t>
        </is>
      </c>
      <c r="F673" t="inlineStr">
        <is>
          <t>Finishing Material Loads</t>
        </is>
      </c>
      <c r="T673" t="inlineStr">
        <is>
          <t>none</t>
        </is>
      </c>
      <c r="Z673">
        <f>IF(OR(K306="",K306="TABLE"),"",
_xlfn.TEXTJOIN(", ",TRUE,
IF(E306&lt;&gt;"",E306&amp;K306,""),
IF(F306&lt;&gt;"",F306&amp;K306,""),
IF(G306&lt;&gt;"",G306&amp;K306,"")
))</f>
        <v/>
      </c>
      <c r="AA673">
        <f>IF(K306="","",IF(K306="TABLE","",K306))</f>
        <v/>
      </c>
      <c r="AB673">
        <f>IF(ISNUMBER(SEARCH("기존변경필요",SUBSTITUTE(TRIM(V306),CHAR(10)," "))),"",
IFERROR(
  _xlfn.XLOOKUP(AA306,'기존 end point'!B:B,'기존 end point'!B:B,,0),
""))</f>
        <v/>
      </c>
    </row>
    <row r="674">
      <c r="A674" t="n">
        <v>305</v>
      </c>
      <c r="B674" t="inlineStr">
        <is>
          <t>civil-nx/gen-nx</t>
        </is>
      </c>
      <c r="C674" t="inlineStr">
        <is>
          <t>Static Loads</t>
        </is>
      </c>
      <c r="D674" t="inlineStr">
        <is>
          <t>Load Tables</t>
        </is>
      </c>
      <c r="E674" t="inlineStr">
        <is>
          <t>Static Load</t>
        </is>
      </c>
      <c r="F674" t="inlineStr">
        <is>
          <t>Pressure Loads</t>
        </is>
      </c>
      <c r="T674" t="inlineStr">
        <is>
          <t>none</t>
        </is>
      </c>
      <c r="Z674">
        <f>IF(OR(K307="",K307="TABLE"),"",
_xlfn.TEXTJOIN(", ",TRUE,
IF(E307&lt;&gt;"",E307&amp;K307,""),
IF(F307&lt;&gt;"",F307&amp;K307,""),
IF(G307&lt;&gt;"",G307&amp;K307,"")
))</f>
        <v/>
      </c>
      <c r="AA674">
        <f>IF(K307="","",IF(K307="TABLE","",K307))</f>
        <v/>
      </c>
      <c r="AB674">
        <f>IF(ISNUMBER(SEARCH("기존변경필요",SUBSTITUTE(TRIM(V307),CHAR(10)," "))),"",
IFERROR(
  _xlfn.XLOOKUP(AA307,'기존 end point'!B:B,'기존 end point'!B:B,,0),
""))</f>
        <v/>
      </c>
    </row>
    <row r="675">
      <c r="A675" t="n">
        <v>306</v>
      </c>
      <c r="B675" t="inlineStr">
        <is>
          <t>gen-nx</t>
        </is>
      </c>
      <c r="C675" t="inlineStr">
        <is>
          <t>Static Loads</t>
        </is>
      </c>
      <c r="D675" t="inlineStr">
        <is>
          <t>Load Tables</t>
        </is>
      </c>
      <c r="E675" t="inlineStr">
        <is>
          <t>Static Load</t>
        </is>
      </c>
      <c r="F675" t="inlineStr">
        <is>
          <t>Area Pressure Loads</t>
        </is>
      </c>
      <c r="T675" t="inlineStr">
        <is>
          <t>none</t>
        </is>
      </c>
      <c r="Z675">
        <f>IF(OR(K308="",K308="TABLE"),"",
_xlfn.TEXTJOIN(", ",TRUE,
IF(E308&lt;&gt;"",E308&amp;K308,""),
IF(F308&lt;&gt;"",F308&amp;K308,""),
IF(G308&lt;&gt;"",G308&amp;K308,"")
))</f>
        <v/>
      </c>
      <c r="AA675">
        <f>IF(K308="","",IF(K308="TABLE","",K308))</f>
        <v/>
      </c>
      <c r="AB675">
        <f>IF(ISNUMBER(SEARCH("기존변경필요",SUBSTITUTE(TRIM(V308),CHAR(10)," "))),"",
IFERROR(
  _xlfn.XLOOKUP(AA308,'기존 end point'!B:B,'기존 end point'!B:B,,0),
""))</f>
        <v/>
      </c>
    </row>
    <row r="676" hidden="1">
      <c r="A676" t="n">
        <v>307</v>
      </c>
      <c r="B676" t="inlineStr">
        <is>
          <t>civil-nx/gen-nx</t>
        </is>
      </c>
      <c r="C676" t="inlineStr">
        <is>
          <t>Static Loads</t>
        </is>
      </c>
      <c r="D676" t="inlineStr">
        <is>
          <t>Load Tables</t>
        </is>
      </c>
      <c r="E676" t="inlineStr">
        <is>
          <t>Static Load</t>
        </is>
      </c>
      <c r="F676" t="inlineStr">
        <is>
          <t>Plane Loads</t>
        </is>
      </c>
      <c r="T676" t="inlineStr">
        <is>
          <t>none</t>
        </is>
      </c>
      <c r="Z676">
        <f>IF(OR(K309="",K309="TABLE"),"",
_xlfn.TEXTJOIN(", ",TRUE,
IF(E309&lt;&gt;"",E309&amp;K309,""),
IF(F309&lt;&gt;"",F309&amp;K309,""),
IF(G309&lt;&gt;"",G309&amp;K309,"")
))</f>
        <v/>
      </c>
      <c r="AA676">
        <f>IF(K309="","",IF(K309="TABLE","",K309))</f>
        <v/>
      </c>
      <c r="AB676">
        <f>IF(ISNUMBER(SEARCH("기존변경필요",SUBSTITUTE(TRIM(V309),CHAR(10)," "))),"",
IFERROR(
  _xlfn.XLOOKUP(AA309,'기존 end point'!B:B,'기존 end point'!B:B,,0),
""))</f>
        <v/>
      </c>
    </row>
    <row r="677">
      <c r="A677" t="n">
        <v>308</v>
      </c>
      <c r="B677" t="inlineStr">
        <is>
          <t>gen-nx</t>
        </is>
      </c>
      <c r="C677" t="inlineStr">
        <is>
          <t>Static Loads</t>
        </is>
      </c>
      <c r="D677" t="inlineStr">
        <is>
          <t>Load Tables</t>
        </is>
      </c>
      <c r="E677" t="inlineStr">
        <is>
          <t>Static Load</t>
        </is>
      </c>
      <c r="F677" t="inlineStr">
        <is>
          <t>Area Wind Pressure</t>
        </is>
      </c>
      <c r="T677" t="inlineStr">
        <is>
          <t>none</t>
        </is>
      </c>
      <c r="Z677">
        <f>IF(OR(K310="",K310="TABLE"),"",
_xlfn.TEXTJOIN(", ",TRUE,
IF(E310&lt;&gt;"",E310&amp;K310,""),
IF(F310&lt;&gt;"",F310&amp;K310,""),
IF(G310&lt;&gt;"",G310&amp;K310,"")
))</f>
        <v/>
      </c>
      <c r="AA677">
        <f>IF(K310="","",IF(K310="TABLE","",K310))</f>
        <v/>
      </c>
      <c r="AB677">
        <f>IF(ISNUMBER(SEARCH("기존변경필요",SUBSTITUTE(TRIM(V310),CHAR(10)," "))),"",
IFERROR(
  _xlfn.XLOOKUP(AA310,'기존 end point'!B:B,'기존 end point'!B:B,,0),
""))</f>
        <v/>
      </c>
    </row>
    <row r="678">
      <c r="A678" t="n">
        <v>309</v>
      </c>
      <c r="B678" t="inlineStr">
        <is>
          <t>gen-nx</t>
        </is>
      </c>
      <c r="C678" t="inlineStr">
        <is>
          <t>Static Loads</t>
        </is>
      </c>
      <c r="D678" t="inlineStr">
        <is>
          <t>Load Tables</t>
        </is>
      </c>
      <c r="E678" t="inlineStr">
        <is>
          <t>Static Load</t>
        </is>
      </c>
      <c r="F678" t="inlineStr">
        <is>
          <t>Beam Wind Pressure</t>
        </is>
      </c>
      <c r="T678" t="inlineStr">
        <is>
          <t>none</t>
        </is>
      </c>
      <c r="Z678">
        <f>IF(OR(K311="",K311="TABLE"),"",
_xlfn.TEXTJOIN(", ",TRUE,
IF(E311&lt;&gt;"",E311&amp;K311,""),
IF(F311&lt;&gt;"",F311&amp;K311,""),
IF(G311&lt;&gt;"",G311&amp;K311,"")
))</f>
        <v/>
      </c>
      <c r="AA678">
        <f>IF(K311="","",IF(K311="TABLE","",K311))</f>
        <v/>
      </c>
      <c r="AB678">
        <f>IF(ISNUMBER(SEARCH("기존변경필요",SUBSTITUTE(TRIM(V311),CHAR(10)," "))),"",
IFERROR(
  _xlfn.XLOOKUP(AA311,'기존 end point'!B:B,'기존 end point'!B:B,,0),
""))</f>
        <v/>
      </c>
    </row>
    <row r="679">
      <c r="A679" t="n">
        <v>310</v>
      </c>
      <c r="B679" t="inlineStr">
        <is>
          <t>gen-nx</t>
        </is>
      </c>
      <c r="C679" t="inlineStr">
        <is>
          <t>Static Loads</t>
        </is>
      </c>
      <c r="D679" t="inlineStr">
        <is>
          <t>Load Tables</t>
        </is>
      </c>
      <c r="E679" t="inlineStr">
        <is>
          <t>Static Load</t>
        </is>
      </c>
      <c r="F679" t="inlineStr">
        <is>
          <t>Nodal Wind Pressure</t>
        </is>
      </c>
      <c r="T679" t="inlineStr">
        <is>
          <t>none</t>
        </is>
      </c>
      <c r="Z679">
        <f>IF(OR(K312="",K312="TABLE"),"",
_xlfn.TEXTJOIN(", ",TRUE,
IF(E312&lt;&gt;"",E312&amp;K312,""),
IF(F312&lt;&gt;"",F312&amp;K312,""),
IF(G312&lt;&gt;"",G312&amp;K312,"")
))</f>
        <v/>
      </c>
      <c r="AA679">
        <f>IF(K312="","",IF(K312="TABLE","",K312))</f>
        <v/>
      </c>
      <c r="AB679">
        <f>IF(ISNUMBER(SEARCH("기존변경필요",SUBSTITUTE(TRIM(V312),CHAR(10)," "))),"",
IFERROR(
  _xlfn.XLOOKUP(AA312,'기존 end point'!B:B,'기존 end point'!B:B,,0),
""))</f>
        <v/>
      </c>
    </row>
    <row r="680">
      <c r="A680" t="n">
        <v>311</v>
      </c>
      <c r="B680" t="inlineStr">
        <is>
          <t>gen-nx</t>
        </is>
      </c>
      <c r="C680" t="inlineStr">
        <is>
          <t>Static Loads</t>
        </is>
      </c>
      <c r="D680" t="inlineStr">
        <is>
          <t>Load Tables</t>
        </is>
      </c>
      <c r="E680" t="inlineStr">
        <is>
          <t>Static Load</t>
        </is>
      </c>
      <c r="F680" t="inlineStr">
        <is>
          <t>Function Wid Pressure</t>
        </is>
      </c>
      <c r="T680" t="inlineStr">
        <is>
          <t>none</t>
        </is>
      </c>
      <c r="Z680">
        <f>IF(OR(K313="",K313="TABLE"),"",
_xlfn.TEXTJOIN(", ",TRUE,
IF(E313&lt;&gt;"",E313&amp;K313,""),
IF(F313&lt;&gt;"",F313&amp;K313,""),
IF(G313&lt;&gt;"",G313&amp;K313,"")
))</f>
        <v/>
      </c>
      <c r="AA680">
        <f>IF(K313="","",IF(K313="TABLE","",K313))</f>
        <v/>
      </c>
      <c r="AB680">
        <f>IF(ISNUMBER(SEARCH("기존변경필요",SUBSTITUTE(TRIM(V313),CHAR(10)," "))),"",
IFERROR(
  _xlfn.XLOOKUP(AA313,'기존 end point'!B:B,'기존 end point'!B:B,,0),
""))</f>
        <v/>
      </c>
    </row>
    <row r="681">
      <c r="A681" t="n">
        <v>312</v>
      </c>
      <c r="B681" t="inlineStr">
        <is>
          <t>gen-nx</t>
        </is>
      </c>
      <c r="C681" t="inlineStr">
        <is>
          <t>Static Loads</t>
        </is>
      </c>
      <c r="D681" t="inlineStr">
        <is>
          <t>Load Tables</t>
        </is>
      </c>
      <c r="E681" t="inlineStr">
        <is>
          <t>Static Load</t>
        </is>
      </c>
      <c r="F681" t="inlineStr">
        <is>
          <t>Seismic Earth Pressure</t>
        </is>
      </c>
      <c r="T681" t="inlineStr">
        <is>
          <t>none</t>
        </is>
      </c>
      <c r="Z681">
        <f>IF(OR(K314="",K314="TABLE"),"",
_xlfn.TEXTJOIN(", ",TRUE,
IF(E314&lt;&gt;"",E314&amp;K314,""),
IF(F314&lt;&gt;"",F314&amp;K314,""),
IF(G314&lt;&gt;"",G314&amp;K314,"")
))</f>
        <v/>
      </c>
      <c r="AA681">
        <f>IF(K314="","",IF(K314="TABLE","",K314))</f>
        <v/>
      </c>
      <c r="AB681">
        <f>IF(ISNUMBER(SEARCH("기존변경필요",SUBSTITUTE(TRIM(V314),CHAR(10)," "))),"",
IFERROR(
  _xlfn.XLOOKUP(AA314,'기존 end point'!B:B,'기존 end point'!B:B,,0),
""))</f>
        <v/>
      </c>
    </row>
    <row r="682">
      <c r="A682" t="n">
        <v>313</v>
      </c>
      <c r="B682" t="inlineStr">
        <is>
          <t>gen-nx</t>
        </is>
      </c>
      <c r="C682" t="inlineStr">
        <is>
          <t>Static Loads</t>
        </is>
      </c>
      <c r="D682" t="inlineStr">
        <is>
          <t>Load Tables</t>
        </is>
      </c>
      <c r="E682" t="inlineStr">
        <is>
          <t>Static Load</t>
        </is>
      </c>
      <c r="F682" t="inlineStr">
        <is>
          <t>Static Earth Pressure</t>
        </is>
      </c>
      <c r="T682" t="inlineStr">
        <is>
          <t>none</t>
        </is>
      </c>
      <c r="Z682">
        <f>IF(OR(K315="",K315="TABLE"),"",
_xlfn.TEXTJOIN(", ",TRUE,
IF(E315&lt;&gt;"",E315&amp;K315,""),
IF(F315&lt;&gt;"",F315&amp;K315,""),
IF(G315&lt;&gt;"",G315&amp;K315,"")
))</f>
        <v/>
      </c>
      <c r="AA682">
        <f>IF(K315="","",IF(K315="TABLE","",K315))</f>
        <v/>
      </c>
      <c r="AB682">
        <f>IF(ISNUMBER(SEARCH("기존변경필요",SUBSTITUTE(TRIM(V315),CHAR(10)," "))),"",
IFERROR(
  _xlfn.XLOOKUP(AA315,'기존 end point'!B:B,'기존 end point'!B:B,,0),
""))</f>
        <v/>
      </c>
    </row>
    <row r="683">
      <c r="A683" t="n">
        <v>314</v>
      </c>
      <c r="B683" t="inlineStr">
        <is>
          <t>civil-nx/gen-nx</t>
        </is>
      </c>
      <c r="C683" t="inlineStr">
        <is>
          <t>Static Loads</t>
        </is>
      </c>
      <c r="D683" t="inlineStr">
        <is>
          <t>Load Tables</t>
        </is>
      </c>
      <c r="E683" t="inlineStr">
        <is>
          <t>Summary Table</t>
        </is>
      </c>
      <c r="F683" t="inlineStr">
        <is>
          <t>Mass Summary Table</t>
        </is>
      </c>
      <c r="T683" t="inlineStr">
        <is>
          <t>none</t>
        </is>
      </c>
      <c r="Z683">
        <f>IF(OR(K316="",K316="TABLE"),"",
_xlfn.TEXTJOIN(", ",TRUE,
IF(E316&lt;&gt;"",E316&amp;K316,""),
IF(F316&lt;&gt;"",F316&amp;K316,""),
IF(G316&lt;&gt;"",G316&amp;K316,"")
))</f>
        <v/>
      </c>
      <c r="AA683">
        <f>IF(K316="","",IF(K316="TABLE","",K316))</f>
        <v/>
      </c>
      <c r="AB683">
        <f>IF(ISNUMBER(SEARCH("기존변경필요",SUBSTITUTE(TRIM(V316),CHAR(10)," "))),"",
IFERROR(
  _xlfn.XLOOKUP(AA316,'기존 end point'!B:B,'기존 end point'!B:B,,0),
""))</f>
        <v/>
      </c>
    </row>
    <row r="684" hidden="1">
      <c r="A684" t="n">
        <v>315</v>
      </c>
      <c r="B684" t="inlineStr">
        <is>
          <t>civil-nx/gen-nx</t>
        </is>
      </c>
      <c r="C684" t="inlineStr">
        <is>
          <t>Static Loads</t>
        </is>
      </c>
      <c r="D684" t="inlineStr">
        <is>
          <t>Load Tables</t>
        </is>
      </c>
      <c r="E684" t="inlineStr">
        <is>
          <t>Summary Table</t>
        </is>
      </c>
      <c r="F684" t="inlineStr">
        <is>
          <t>Load Summary Table</t>
        </is>
      </c>
      <c r="T684" t="inlineStr">
        <is>
          <t>none</t>
        </is>
      </c>
      <c r="Z684">
        <f>IF(OR(K317="",K317="TABLE"),"",
_xlfn.TEXTJOIN(", ",TRUE,
IF(E317&lt;&gt;"",E317&amp;K317,""),
IF(F317&lt;&gt;"",F317&amp;K317,""),
IF(G317&lt;&gt;"",G317&amp;K317,"")
))</f>
        <v/>
      </c>
      <c r="AA684">
        <f>IF(K317="","",IF(K317="TABLE","",K317))</f>
        <v/>
      </c>
      <c r="AB684">
        <f>IF(ISNUMBER(SEARCH("기존변경필요",SUBSTITUTE(TRIM(V317),CHAR(10)," "))),"",
IFERROR(
  _xlfn.XLOOKUP(AA317,'기존 end point'!B:B,'기존 end point'!B:B,,0),
""))</f>
        <v/>
      </c>
    </row>
    <row r="685" hidden="1">
      <c r="A685" t="n">
        <v>316</v>
      </c>
      <c r="B685" t="inlineStr">
        <is>
          <t>gen-nx</t>
        </is>
      </c>
      <c r="C685" t="inlineStr">
        <is>
          <t>Static Loads</t>
        </is>
      </c>
      <c r="D685" t="inlineStr">
        <is>
          <t>Load Tables</t>
        </is>
      </c>
      <c r="E685" t="inlineStr">
        <is>
          <t>Summary Table</t>
        </is>
      </c>
      <c r="F685" t="inlineStr">
        <is>
          <t>Story Weight Table</t>
        </is>
      </c>
      <c r="T685" t="inlineStr">
        <is>
          <t>none</t>
        </is>
      </c>
      <c r="Z685">
        <f>IF(OR(K318="",K318="TABLE"),"",
_xlfn.TEXTJOIN(", ",TRUE,
IF(E318&lt;&gt;"",E318&amp;K318,""),
IF(F318&lt;&gt;"",F318&amp;K318,""),
IF(G318&lt;&gt;"",G318&amp;K318,"")
))</f>
        <v/>
      </c>
      <c r="AA685">
        <f>IF(K318="","",IF(K318="TABLE","",K318))</f>
        <v/>
      </c>
      <c r="AB685">
        <f>IF(ISNUMBER(SEARCH("기존변경필요",SUBSTITUTE(TRIM(V318),CHAR(10)," "))),"",
IFERROR(
  _xlfn.XLOOKUP(AA318,'기존 end point'!B:B,'기존 end point'!B:B,,0),
""))</f>
        <v/>
      </c>
    </row>
    <row r="686" hidden="1">
      <c r="A686" t="n">
        <v>317</v>
      </c>
      <c r="B686" t="inlineStr">
        <is>
          <t>gen-nx</t>
        </is>
      </c>
      <c r="C686" t="inlineStr">
        <is>
          <t>Static Loads</t>
        </is>
      </c>
      <c r="D686" t="inlineStr">
        <is>
          <t>Load Tables</t>
        </is>
      </c>
      <c r="E686" t="inlineStr">
        <is>
          <t>Summary Table</t>
        </is>
      </c>
      <c r="F686" t="inlineStr">
        <is>
          <t>Story Load Table</t>
        </is>
      </c>
      <c r="T686" t="inlineStr">
        <is>
          <t>none</t>
        </is>
      </c>
      <c r="Z686">
        <f>IF(OR(K319="",K319="TABLE"),"",
_xlfn.TEXTJOIN(", ",TRUE,
IF(E319&lt;&gt;"",E319&amp;K319,""),
IF(F319&lt;&gt;"",F319&amp;K319,""),
IF(G319&lt;&gt;"",G319&amp;K319,"")
))</f>
        <v/>
      </c>
      <c r="AA686">
        <f>IF(K319="","",IF(K319="TABLE","",K319))</f>
        <v/>
      </c>
      <c r="AB686">
        <f>IF(ISNUMBER(SEARCH("기존변경필요",SUBSTITUTE(TRIM(V319),CHAR(10)," "))),"",
IFERROR(
  _xlfn.XLOOKUP(AA319,'기존 end point'!B:B,'기존 end point'!B:B,,0),
""))</f>
        <v/>
      </c>
    </row>
    <row r="687">
      <c r="A687" t="n">
        <v>318</v>
      </c>
      <c r="B687" t="inlineStr">
        <is>
          <t>gen-nx</t>
        </is>
      </c>
      <c r="C687" t="inlineStr">
        <is>
          <t>Static Loads</t>
        </is>
      </c>
      <c r="D687" t="inlineStr">
        <is>
          <t>Load Tables</t>
        </is>
      </c>
      <c r="E687" t="inlineStr">
        <is>
          <t>Summary Table</t>
        </is>
      </c>
      <c r="F687" t="inlineStr">
        <is>
          <t>Story Mass Table</t>
        </is>
      </c>
      <c r="T687" t="inlineStr">
        <is>
          <t>none</t>
        </is>
      </c>
      <c r="Z687">
        <f>IF(OR(K320="",K320="TABLE"),"",
_xlfn.TEXTJOIN(", ",TRUE,
IF(E320&lt;&gt;"",E320&amp;K320,""),
IF(F320&lt;&gt;"",F320&amp;K320,""),
IF(G320&lt;&gt;"",G320&amp;K320,"")
))</f>
        <v/>
      </c>
      <c r="AA687">
        <f>IF(K320="","",IF(K320="TABLE","",K320))</f>
        <v/>
      </c>
      <c r="AB687">
        <f>IF(ISNUMBER(SEARCH("기존변경필요",SUBSTITUTE(TRIM(V320),CHAR(10)," "))),"",
IFERROR(
  _xlfn.XLOOKUP(AA320,'기존 end point'!B:B,'기존 end point'!B:B,,0),
""))</f>
        <v/>
      </c>
    </row>
    <row r="688">
      <c r="A688" t="n">
        <v>319</v>
      </c>
      <c r="B688" t="inlineStr">
        <is>
          <t>civil-nx/gen-nx</t>
        </is>
      </c>
      <c r="C688" t="inlineStr">
        <is>
          <t>Temperature</t>
        </is>
      </c>
      <c r="D688" t="inlineStr">
        <is>
          <t>Temperature Loads</t>
        </is>
      </c>
      <c r="E688" t="inlineStr">
        <is>
          <t>Element Temp.</t>
        </is>
      </c>
      <c r="T688" t="inlineStr">
        <is>
          <t>none</t>
        </is>
      </c>
      <c r="Z688">
        <f>IF(OR(K321="",K321="TABLE"),"",
_xlfn.TEXTJOIN(", ",TRUE,
IF(E321&lt;&gt;"",E321&amp;K321,""),
IF(F321&lt;&gt;"",F321&amp;K321,""),
IF(G321&lt;&gt;"",G321&amp;K321,"")
))</f>
        <v/>
      </c>
      <c r="AA688">
        <f>IF(K321="","",IF(K321="TABLE","",K321))</f>
        <v/>
      </c>
      <c r="AB688">
        <f>IF(ISNUMBER(SEARCH("기존변경필요",SUBSTITUTE(TRIM(V321),CHAR(10)," "))),"",
IFERROR(
  _xlfn.XLOOKUP(AA321,'기존 end point'!B:B,'기존 end point'!B:B,,0),
""))</f>
        <v/>
      </c>
    </row>
    <row r="689">
      <c r="A689" t="n">
        <v>320</v>
      </c>
      <c r="B689" t="inlineStr">
        <is>
          <t>civil-nx/gen-nx</t>
        </is>
      </c>
      <c r="C689" t="inlineStr">
        <is>
          <t>Temperature</t>
        </is>
      </c>
      <c r="D689" t="inlineStr">
        <is>
          <t>Temperature Loads</t>
        </is>
      </c>
      <c r="E689" t="inlineStr">
        <is>
          <t>Temp. Gradient</t>
        </is>
      </c>
      <c r="T689" t="inlineStr">
        <is>
          <t>none</t>
        </is>
      </c>
      <c r="Z689">
        <f>IF(OR(K322="",K322="TABLE"),"",
_xlfn.TEXTJOIN(", ",TRUE,
IF(E322&lt;&gt;"",E322&amp;K322,""),
IF(F322&lt;&gt;"",F322&amp;K322,""),
IF(G322&lt;&gt;"",G322&amp;K322,"")
))</f>
        <v/>
      </c>
      <c r="AA689">
        <f>IF(K322="","",IF(K322="TABLE","",K322))</f>
        <v/>
      </c>
      <c r="AB689">
        <f>IF(ISNUMBER(SEARCH("기존변경필요",SUBSTITUTE(TRIM(V322),CHAR(10)," "))),"",
IFERROR(
  _xlfn.XLOOKUP(AA322,'기존 end point'!B:B,'기존 end point'!B:B,,0),
""))</f>
        <v/>
      </c>
    </row>
    <row r="690">
      <c r="A690" t="n">
        <v>321</v>
      </c>
      <c r="B690" t="inlineStr">
        <is>
          <t>civil-nx/gen-nx</t>
        </is>
      </c>
      <c r="C690" t="inlineStr">
        <is>
          <t>Temperature</t>
        </is>
      </c>
      <c r="D690" t="inlineStr">
        <is>
          <t>Temperature Loads</t>
        </is>
      </c>
      <c r="E690" t="inlineStr">
        <is>
          <t>Beam Section Temp.</t>
        </is>
      </c>
      <c r="T690" t="inlineStr">
        <is>
          <t>none</t>
        </is>
      </c>
      <c r="Z690">
        <f>IF(OR(K323="",K323="TABLE"),"",
_xlfn.TEXTJOIN(", ",TRUE,
IF(E323&lt;&gt;"",E323&amp;K323,""),
IF(F323&lt;&gt;"",F323&amp;K323,""),
IF(G323&lt;&gt;"",G323&amp;K323,"")
))</f>
        <v/>
      </c>
      <c r="AA690">
        <f>IF(K323="","",IF(K323="TABLE","",K323))</f>
        <v/>
      </c>
      <c r="AB690">
        <f>IF(ISNUMBER(SEARCH("기존변경필요",SUBSTITUTE(TRIM(V323),CHAR(10)," "))),"",
IFERROR(
  _xlfn.XLOOKUP(AA323,'기존 end point'!B:B,'기존 end point'!B:B,,0),
""))</f>
        <v/>
      </c>
    </row>
    <row r="691" hidden="1">
      <c r="A691" t="n">
        <v>322</v>
      </c>
      <c r="B691" t="inlineStr">
        <is>
          <t>civil-nx/gen-nx</t>
        </is>
      </c>
      <c r="C691" t="inlineStr">
        <is>
          <t>Temperature</t>
        </is>
      </c>
      <c r="D691" t="inlineStr">
        <is>
          <t>Temperature Loads</t>
        </is>
      </c>
      <c r="E691" t="inlineStr">
        <is>
          <t>System Temp.</t>
        </is>
      </c>
      <c r="H691" t="inlineStr">
        <is>
          <t>db</t>
        </is>
      </c>
      <c r="I691" t="inlineStr">
        <is>
          <t>stmp</t>
        </is>
      </c>
      <c r="K691">
        <f>_xlfn.TEXTAFTER(L324,"/",-1)</f>
        <v/>
      </c>
      <c r="L691" t="inlineStr">
        <is>
          <t>/db/stmp</t>
        </is>
      </c>
      <c r="M691" t="inlineStr">
        <is>
          <t>System Temperature</t>
        </is>
      </c>
      <c r="N691" t="inlineStr">
        <is>
          <t>done</t>
        </is>
      </c>
      <c r="O691" t="inlineStr">
        <is>
          <t>done</t>
        </is>
      </c>
      <c r="P691" t="inlineStr">
        <is>
          <t>done</t>
        </is>
      </c>
      <c r="Q691" t="inlineStr">
        <is>
          <t>done</t>
        </is>
      </c>
      <c r="R691" t="inlineStr">
        <is>
          <t>done</t>
        </is>
      </c>
      <c r="S691" t="inlineStr">
        <is>
          <t>done</t>
        </is>
      </c>
      <c r="T691" t="inlineStr">
        <is>
          <t>Done</t>
        </is>
      </c>
      <c r="Z691">
        <f>IF(OR(K324="",K324="TABLE"),"",
_xlfn.TEXTJOIN(", ",TRUE,
IF(E324&lt;&gt;"",E324&amp;K324,""),
IF(F324&lt;&gt;"",F324&amp;K324,""),
IF(G324&lt;&gt;"",G324&amp;K324,"")
))</f>
        <v/>
      </c>
      <c r="AA691">
        <f>IF(K324="","",IF(K324="TABLE","",K324))</f>
        <v/>
      </c>
      <c r="AB691">
        <f>IF(ISNUMBER(SEARCH("기존변경필요",SUBSTITUTE(TRIM(V324),CHAR(10)," "))),"",
IFERROR(
  _xlfn.XLOOKUP(AA324,'기존 end point'!B:B,'기존 end point'!B:B,,0),
""))</f>
        <v/>
      </c>
    </row>
    <row r="692" hidden="1">
      <c r="A692" t="n">
        <v>323</v>
      </c>
      <c r="B692" t="inlineStr">
        <is>
          <t>civil-nx/gen-nx</t>
        </is>
      </c>
      <c r="C692" t="inlineStr">
        <is>
          <t>Temperature</t>
        </is>
      </c>
      <c r="D692" t="inlineStr">
        <is>
          <t>Temperature Loads</t>
        </is>
      </c>
      <c r="E692" t="inlineStr">
        <is>
          <t>Nodal Temp.</t>
        </is>
      </c>
      <c r="H692" t="inlineStr">
        <is>
          <t>db</t>
        </is>
      </c>
      <c r="I692" t="inlineStr">
        <is>
          <t>ntmp</t>
        </is>
      </c>
      <c r="K692">
        <f>_xlfn.TEXTAFTER(L325,"/",-1)</f>
        <v/>
      </c>
      <c r="L692" t="inlineStr">
        <is>
          <t>/db/ntmp</t>
        </is>
      </c>
      <c r="M692" t="inlineStr">
        <is>
          <t>Nodal Temperature</t>
        </is>
      </c>
      <c r="N692" t="inlineStr">
        <is>
          <t>done</t>
        </is>
      </c>
      <c r="O692" t="inlineStr">
        <is>
          <t>done</t>
        </is>
      </c>
      <c r="P692" t="inlineStr">
        <is>
          <t>done</t>
        </is>
      </c>
      <c r="Q692" t="inlineStr">
        <is>
          <t>done</t>
        </is>
      </c>
      <c r="R692" t="inlineStr">
        <is>
          <t>done</t>
        </is>
      </c>
      <c r="S692" t="inlineStr">
        <is>
          <t>done</t>
        </is>
      </c>
      <c r="T692" t="inlineStr">
        <is>
          <t>Done</t>
        </is>
      </c>
      <c r="Z692">
        <f>IF(OR(K325="",K325="TABLE"),"",
_xlfn.TEXTJOIN(", ",TRUE,
IF(E325&lt;&gt;"",E325&amp;K325,""),
IF(F325&lt;&gt;"",F325&amp;K325,""),
IF(G325&lt;&gt;"",G325&amp;K325,"")
))</f>
        <v/>
      </c>
      <c r="AA692">
        <f>IF(K325="","",IF(K325="TABLE","",K325))</f>
        <v/>
      </c>
      <c r="AB692">
        <f>IF(ISNUMBER(SEARCH("기존변경필요",SUBSTITUTE(TRIM(V325),CHAR(10)," "))),"",
IFERROR(
  _xlfn.XLOOKUP(AA325,'기존 end point'!B:B,'기존 end point'!B:B,,0),
""))</f>
        <v/>
      </c>
    </row>
    <row r="693" hidden="1">
      <c r="A693" t="n">
        <v>324</v>
      </c>
      <c r="B693" t="inlineStr">
        <is>
          <t>civil-nx/gen-nx</t>
        </is>
      </c>
      <c r="C693" t="inlineStr">
        <is>
          <t>Temperature</t>
        </is>
      </c>
      <c r="D693" t="inlineStr">
        <is>
          <t>Load Tables</t>
        </is>
      </c>
      <c r="E693" t="inlineStr">
        <is>
          <t>Temp. Loads</t>
        </is>
      </c>
      <c r="F693" t="inlineStr">
        <is>
          <t>Nodal Temperatures</t>
        </is>
      </c>
      <c r="H693" t="inlineStr">
        <is>
          <t>db</t>
        </is>
      </c>
      <c r="I693" t="inlineStr">
        <is>
          <t>etmp</t>
        </is>
      </c>
      <c r="K693">
        <f>_xlfn.TEXTAFTER(L326,"/",-1)</f>
        <v/>
      </c>
      <c r="L693" t="inlineStr">
        <is>
          <t>/db/etmp</t>
        </is>
      </c>
      <c r="M693" t="inlineStr">
        <is>
          <t>Element Temperature</t>
        </is>
      </c>
      <c r="N693" t="inlineStr">
        <is>
          <t>done</t>
        </is>
      </c>
      <c r="O693" t="inlineStr">
        <is>
          <t>done</t>
        </is>
      </c>
      <c r="P693" t="inlineStr">
        <is>
          <t>done</t>
        </is>
      </c>
      <c r="Q693" t="inlineStr">
        <is>
          <t>done</t>
        </is>
      </c>
      <c r="R693" t="inlineStr">
        <is>
          <t>done</t>
        </is>
      </c>
      <c r="S693" t="inlineStr">
        <is>
          <t>done</t>
        </is>
      </c>
      <c r="T693" t="inlineStr">
        <is>
          <t>Done</t>
        </is>
      </c>
      <c r="Z693">
        <f>IF(OR(K326="",K326="TABLE"),"",
_xlfn.TEXTJOIN(", ",TRUE,
IF(E326&lt;&gt;"",E326&amp;K326,""),
IF(F326&lt;&gt;"",F326&amp;K326,""),
IF(G326&lt;&gt;"",G326&amp;K326,"")
))</f>
        <v/>
      </c>
      <c r="AA693">
        <f>IF(K326="","",IF(K326="TABLE","",K326))</f>
        <v/>
      </c>
      <c r="AB693">
        <f>IF(ISNUMBER(SEARCH("기존변경필요",SUBSTITUTE(TRIM(V326),CHAR(10)," "))),"",
IFERROR(
  _xlfn.XLOOKUP(AA326,'기존 end point'!B:B,'기존 end point'!B:B,,0),
""))</f>
        <v/>
      </c>
    </row>
    <row r="694" hidden="1">
      <c r="A694" t="n">
        <v>325</v>
      </c>
      <c r="B694" t="inlineStr">
        <is>
          <t>civil-nx/gen-nx</t>
        </is>
      </c>
      <c r="C694" t="inlineStr">
        <is>
          <t>Temperature</t>
        </is>
      </c>
      <c r="D694" t="inlineStr">
        <is>
          <t>Load Tables</t>
        </is>
      </c>
      <c r="E694" t="inlineStr">
        <is>
          <t>Temp. Loads</t>
        </is>
      </c>
      <c r="F694" t="inlineStr">
        <is>
          <t>Element Temperatures</t>
        </is>
      </c>
      <c r="T694" t="inlineStr">
        <is>
          <t>none</t>
        </is>
      </c>
      <c r="Z694">
        <f>IF(OR(K327="",K327="TABLE"),"",
_xlfn.TEXTJOIN(", ",TRUE,
IF(E327&lt;&gt;"",E327&amp;K327,""),
IF(F327&lt;&gt;"",F327&amp;K327,""),
IF(G327&lt;&gt;"",G327&amp;K327,"")
))</f>
        <v/>
      </c>
      <c r="AA694">
        <f>IF(K327="","",IF(K327="TABLE","",K327))</f>
        <v/>
      </c>
      <c r="AB694">
        <f>IF(ISNUMBER(SEARCH("기존변경필요",SUBSTITUTE(TRIM(V327),CHAR(10)," "))),"",
IFERROR(
  _xlfn.XLOOKUP(AA327,'기존 end point'!B:B,'기존 end point'!B:B,,0),
""))</f>
        <v/>
      </c>
    </row>
    <row r="695" hidden="1">
      <c r="A695" t="n">
        <v>326</v>
      </c>
      <c r="B695" t="inlineStr">
        <is>
          <t>civil-nx/gen-nx</t>
        </is>
      </c>
      <c r="C695" t="inlineStr">
        <is>
          <t>Temperature</t>
        </is>
      </c>
      <c r="D695" t="inlineStr">
        <is>
          <t>Load Tables</t>
        </is>
      </c>
      <c r="E695" t="inlineStr">
        <is>
          <t>Temp. Loads</t>
        </is>
      </c>
      <c r="F695" t="inlineStr">
        <is>
          <t>Temperature Gradient</t>
        </is>
      </c>
      <c r="H695" t="inlineStr">
        <is>
          <t>db</t>
        </is>
      </c>
      <c r="I695" t="inlineStr">
        <is>
          <t>gtmp</t>
        </is>
      </c>
      <c r="K695">
        <f>_xlfn.TEXTAFTER(L328,"/",-1)</f>
        <v/>
      </c>
      <c r="L695" t="inlineStr">
        <is>
          <t>/db/gtmp</t>
        </is>
      </c>
      <c r="M695" t="inlineStr">
        <is>
          <t>Temperature Gradient</t>
        </is>
      </c>
      <c r="N695" t="inlineStr">
        <is>
          <t>done</t>
        </is>
      </c>
      <c r="O695" t="inlineStr">
        <is>
          <t>done</t>
        </is>
      </c>
      <c r="P695" t="inlineStr">
        <is>
          <t>done</t>
        </is>
      </c>
      <c r="Q695" t="inlineStr">
        <is>
          <t>done</t>
        </is>
      </c>
      <c r="R695" t="inlineStr">
        <is>
          <t>done</t>
        </is>
      </c>
      <c r="S695" t="inlineStr">
        <is>
          <t>done</t>
        </is>
      </c>
      <c r="T695" t="inlineStr">
        <is>
          <t>Done</t>
        </is>
      </c>
      <c r="Z695">
        <f>IF(OR(K328="",K328="TABLE"),"",
_xlfn.TEXTJOIN(", ",TRUE,
IF(E328&lt;&gt;"",E328&amp;K328,""),
IF(F328&lt;&gt;"",F328&amp;K328,""),
IF(G328&lt;&gt;"",G328&amp;K328,"")
))</f>
        <v/>
      </c>
      <c r="AA695">
        <f>IF(K328="","",IF(K328="TABLE","",K328))</f>
        <v/>
      </c>
      <c r="AB695">
        <f>IF(ISNUMBER(SEARCH("기존변경필요",SUBSTITUTE(TRIM(V328),CHAR(10)," "))),"",
IFERROR(
  _xlfn.XLOOKUP(AA328,'기존 end point'!B:B,'기존 end point'!B:B,,0),
""))</f>
        <v/>
      </c>
    </row>
    <row r="696">
      <c r="A696" t="n">
        <v>327</v>
      </c>
      <c r="B696" t="inlineStr">
        <is>
          <t>civil-nx/gen-nx</t>
        </is>
      </c>
      <c r="C696" t="inlineStr">
        <is>
          <t>Temperature</t>
        </is>
      </c>
      <c r="D696" t="inlineStr">
        <is>
          <t>Load Tables</t>
        </is>
      </c>
      <c r="E696" t="inlineStr">
        <is>
          <t>Temp. Loads</t>
        </is>
      </c>
      <c r="F696" t="inlineStr">
        <is>
          <t>Beam Section Temperatures</t>
        </is>
      </c>
      <c r="H696" t="inlineStr">
        <is>
          <t>db</t>
        </is>
      </c>
      <c r="I696" t="inlineStr">
        <is>
          <t>btmp</t>
        </is>
      </c>
      <c r="K696">
        <f>_xlfn.TEXTAFTER(L329,"/",-1)</f>
        <v/>
      </c>
      <c r="L696" t="inlineStr">
        <is>
          <t>/db/btmp</t>
        </is>
      </c>
      <c r="M696" t="inlineStr">
        <is>
          <t>Beam Section Temperature</t>
        </is>
      </c>
      <c r="N696" t="inlineStr">
        <is>
          <t>done</t>
        </is>
      </c>
      <c r="O696" t="inlineStr">
        <is>
          <t>done</t>
        </is>
      </c>
      <c r="P696" t="inlineStr">
        <is>
          <t>done</t>
        </is>
      </c>
      <c r="Q696" t="inlineStr">
        <is>
          <t>done</t>
        </is>
      </c>
      <c r="R696" t="inlineStr">
        <is>
          <t>done</t>
        </is>
      </c>
      <c r="S696" t="inlineStr">
        <is>
          <t>done</t>
        </is>
      </c>
      <c r="T696" t="inlineStr">
        <is>
          <t>Done</t>
        </is>
      </c>
      <c r="Z696">
        <f>IF(OR(K329="",K329="TABLE"),"",
_xlfn.TEXTJOIN(", ",TRUE,
IF(E329&lt;&gt;"",E329&amp;K329,""),
IF(F329&lt;&gt;"",F329&amp;K329,""),
IF(G329&lt;&gt;"",G329&amp;K329,"")
))</f>
        <v/>
      </c>
      <c r="AA696">
        <f>IF(K329="","",IF(K329="TABLE","",K329))</f>
        <v/>
      </c>
      <c r="AB696">
        <f>IF(ISNUMBER(SEARCH("기존변경필요",SUBSTITUTE(TRIM(V329),CHAR(10)," "))),"",
IFERROR(
  _xlfn.XLOOKUP(AA329,'기존 end point'!B:B,'기존 end point'!B:B,,0),
""))</f>
        <v/>
      </c>
    </row>
    <row r="697">
      <c r="A697" t="n">
        <v>328</v>
      </c>
      <c r="B697" t="inlineStr">
        <is>
          <t>civil-nx/gen-nx</t>
        </is>
      </c>
      <c r="C697" t="inlineStr">
        <is>
          <t>Prestress</t>
        </is>
      </c>
      <c r="D697" t="inlineStr">
        <is>
          <t>Prestress Loads</t>
        </is>
      </c>
      <c r="E697" t="inlineStr">
        <is>
          <t>Tendon Property</t>
        </is>
      </c>
      <c r="H697" t="inlineStr">
        <is>
          <t>db</t>
        </is>
      </c>
      <c r="I697" t="inlineStr">
        <is>
          <t>tdnt</t>
        </is>
      </c>
      <c r="K697">
        <f>_xlfn.TEXTAFTER(L330,"/",-1)</f>
        <v/>
      </c>
      <c r="L697" t="inlineStr">
        <is>
          <t>/db/tdnt</t>
        </is>
      </c>
      <c r="M697" t="inlineStr">
        <is>
          <t>Tendon Property</t>
        </is>
      </c>
      <c r="N697" t="inlineStr">
        <is>
          <t>done</t>
        </is>
      </c>
      <c r="O697" t="inlineStr">
        <is>
          <t>done</t>
        </is>
      </c>
      <c r="P697" t="inlineStr">
        <is>
          <t>done</t>
        </is>
      </c>
      <c r="Q697" t="inlineStr">
        <is>
          <t>done</t>
        </is>
      </c>
      <c r="R697" t="inlineStr">
        <is>
          <t>done</t>
        </is>
      </c>
      <c r="S697" t="inlineStr">
        <is>
          <t>done</t>
        </is>
      </c>
      <c r="T697" t="inlineStr">
        <is>
          <t>Done</t>
        </is>
      </c>
      <c r="Z697">
        <f>IF(OR(K330="",K330="TABLE"),"",
_xlfn.TEXTJOIN(", ",TRUE,
IF(E330&lt;&gt;"",E330&amp;K330,""),
IF(F330&lt;&gt;"",F330&amp;K330,""),
IF(G330&lt;&gt;"",G330&amp;K330,"")
))</f>
        <v/>
      </c>
      <c r="AA697">
        <f>IF(K330="","",IF(K330="TABLE","",K330))</f>
        <v/>
      </c>
      <c r="AB697">
        <f>IF(ISNUMBER(SEARCH("기존변경필요",SUBSTITUTE(TRIM(V330),CHAR(10)," "))),"",
IFERROR(
  _xlfn.XLOOKUP(AA330,'기존 end point'!B:B,'기존 end point'!B:B,,0),
""))</f>
        <v/>
      </c>
    </row>
    <row r="698">
      <c r="A698" t="n">
        <v>329</v>
      </c>
      <c r="B698" t="inlineStr">
        <is>
          <t>civil-nx/gen-nx</t>
        </is>
      </c>
      <c r="C698" t="inlineStr">
        <is>
          <t>Prestress</t>
        </is>
      </c>
      <c r="D698" t="inlineStr">
        <is>
          <t>Prestress Loads</t>
        </is>
      </c>
      <c r="E698" t="inlineStr">
        <is>
          <t>Tendon Profile</t>
        </is>
      </c>
      <c r="F698" t="inlineStr">
        <is>
          <t>Tendon Profile</t>
        </is>
      </c>
      <c r="H698" t="inlineStr">
        <is>
          <t>db</t>
        </is>
      </c>
      <c r="I698" t="inlineStr">
        <is>
          <t>tdna</t>
        </is>
      </c>
      <c r="K698">
        <f>_xlfn.TEXTAFTER(L331,"/",-1)</f>
        <v/>
      </c>
      <c r="L698" t="inlineStr">
        <is>
          <t>/db/tdna</t>
        </is>
      </c>
      <c r="M698" t="inlineStr">
        <is>
          <t>Tendon Profile</t>
        </is>
      </c>
      <c r="N698" t="inlineStr">
        <is>
          <t>done</t>
        </is>
      </c>
      <c r="O698" t="inlineStr">
        <is>
          <t>done</t>
        </is>
      </c>
      <c r="P698" t="inlineStr">
        <is>
          <t>done</t>
        </is>
      </c>
      <c r="Q698" t="inlineStr">
        <is>
          <t>done</t>
        </is>
      </c>
      <c r="R698" t="inlineStr">
        <is>
          <t>done</t>
        </is>
      </c>
      <c r="S698" t="inlineStr">
        <is>
          <t>done</t>
        </is>
      </c>
      <c r="T698" t="inlineStr">
        <is>
          <t>Done</t>
        </is>
      </c>
      <c r="Z698">
        <f>IF(OR(K331="",K331="TABLE"),"",
_xlfn.TEXTJOIN(", ",TRUE,
IF(E331&lt;&gt;"",E331&amp;K331,""),
IF(F331&lt;&gt;"",F331&amp;K331,""),
IF(G331&lt;&gt;"",G331&amp;K331,"")
))</f>
        <v/>
      </c>
      <c r="AA698">
        <f>IF(K331="","",IF(K331="TABLE","",K331))</f>
        <v/>
      </c>
      <c r="AB698">
        <f>IF(ISNUMBER(SEARCH("기존변경필요",SUBSTITUTE(TRIM(V331),CHAR(10)," "))),"",
IFERROR(
  _xlfn.XLOOKUP(AA331,'기존 end point'!B:B,'기존 end point'!B:B,,0),
""))</f>
        <v/>
      </c>
    </row>
    <row r="699">
      <c r="A699" t="n">
        <v>330</v>
      </c>
      <c r="B699" t="inlineStr">
        <is>
          <t>civil-nx/gen-nx</t>
        </is>
      </c>
      <c r="C699" t="inlineStr">
        <is>
          <t>Prestress</t>
        </is>
      </c>
      <c r="D699" t="inlineStr">
        <is>
          <t>Prestress Loads</t>
        </is>
      </c>
      <c r="E699" t="inlineStr">
        <is>
          <t>Tendon Profile</t>
        </is>
      </c>
      <c r="F699" t="inlineStr">
        <is>
          <t>Change Tendon Profile</t>
        </is>
      </c>
      <c r="T699" t="inlineStr">
        <is>
          <t>none</t>
        </is>
      </c>
      <c r="Z699">
        <f>IF(OR(K332="",K332="TABLE"),"",
_xlfn.TEXTJOIN(", ",TRUE,
IF(E332&lt;&gt;"",E332&amp;K332,""),
IF(F332&lt;&gt;"",F332&amp;K332,""),
IF(G332&lt;&gt;"",G332&amp;K332,"")
))</f>
        <v/>
      </c>
      <c r="AA699">
        <f>IF(K332="","",IF(K332="TABLE","",K332))</f>
        <v/>
      </c>
      <c r="AB699">
        <f>IF(ISNUMBER(SEARCH("기존변경필요",SUBSTITUTE(TRIM(V332),CHAR(10)," "))),"",
IFERROR(
  _xlfn.XLOOKUP(AA332,'기존 end point'!B:B,'기존 end point'!B:B,,0),
""))</f>
        <v/>
      </c>
    </row>
    <row r="700">
      <c r="A700" t="n">
        <v>331</v>
      </c>
      <c r="B700" t="inlineStr">
        <is>
          <t>civil-nx/gen-nx</t>
        </is>
      </c>
      <c r="C700" t="inlineStr">
        <is>
          <t>Prestress</t>
        </is>
      </c>
      <c r="D700" t="inlineStr">
        <is>
          <t>Prestress Loads</t>
        </is>
      </c>
      <c r="E700" t="inlineStr">
        <is>
          <t>Tendon Location for Composite Section</t>
        </is>
      </c>
      <c r="H700" t="inlineStr">
        <is>
          <t>db</t>
        </is>
      </c>
      <c r="I700" t="inlineStr">
        <is>
          <t>tdcs</t>
        </is>
      </c>
      <c r="K700">
        <f>_xlfn.TEXTAFTER(L333,"/",-1)</f>
        <v/>
      </c>
      <c r="L700" t="inlineStr">
        <is>
          <t>/db/tdcs</t>
        </is>
      </c>
      <c r="M700" t="inlineStr">
        <is>
          <t>Tendon Location for Composite Section</t>
        </is>
      </c>
      <c r="N700" t="inlineStr">
        <is>
          <t>done</t>
        </is>
      </c>
      <c r="O700" t="inlineStr">
        <is>
          <t>done</t>
        </is>
      </c>
      <c r="P700" t="inlineStr">
        <is>
          <t>done</t>
        </is>
      </c>
      <c r="Q700" t="inlineStr">
        <is>
          <t>done</t>
        </is>
      </c>
      <c r="R700" t="inlineStr">
        <is>
          <t>done</t>
        </is>
      </c>
      <c r="S700" t="inlineStr">
        <is>
          <t>done</t>
        </is>
      </c>
      <c r="T700" t="inlineStr">
        <is>
          <t>Done</t>
        </is>
      </c>
      <c r="Z700">
        <f>IF(OR(K333="",K333="TABLE"),"",
_xlfn.TEXTJOIN(", ",TRUE,
IF(E333&lt;&gt;"",E333&amp;K333,""),
IF(F333&lt;&gt;"",F333&amp;K333,""),
IF(G333&lt;&gt;"",G333&amp;K333,"")
))</f>
        <v/>
      </c>
      <c r="AA700">
        <f>IF(K333="","",IF(K333="TABLE","",K333))</f>
        <v/>
      </c>
      <c r="AB700">
        <f>IF(ISNUMBER(SEARCH("기존변경필요",SUBSTITUTE(TRIM(V333),CHAR(10)," "))),"",
IFERROR(
  _xlfn.XLOOKUP(AA333,'기존 end point'!B:B,'기존 end point'!B:B,,0),
""))</f>
        <v/>
      </c>
    </row>
    <row r="701">
      <c r="A701" t="n">
        <v>332</v>
      </c>
      <c r="B701" t="inlineStr">
        <is>
          <t>civil-nx/gen-nx</t>
        </is>
      </c>
      <c r="C701" t="inlineStr">
        <is>
          <t>Prestress</t>
        </is>
      </c>
      <c r="D701" t="inlineStr">
        <is>
          <t>Prestress Loads</t>
        </is>
      </c>
      <c r="E701" t="inlineStr">
        <is>
          <t>Tendon Prestress</t>
        </is>
      </c>
      <c r="H701" t="inlineStr">
        <is>
          <t>db</t>
        </is>
      </c>
      <c r="I701" t="inlineStr">
        <is>
          <t>tdpl</t>
        </is>
      </c>
      <c r="K701">
        <f>_xlfn.TEXTAFTER(L334,"/",-1)</f>
        <v/>
      </c>
      <c r="L701" t="inlineStr">
        <is>
          <t>/db/tdpl</t>
        </is>
      </c>
      <c r="M701" t="inlineStr">
        <is>
          <t>Tendon Prestress</t>
        </is>
      </c>
      <c r="N701" t="inlineStr">
        <is>
          <t>done</t>
        </is>
      </c>
      <c r="O701" t="inlineStr">
        <is>
          <t>done</t>
        </is>
      </c>
      <c r="P701" t="inlineStr">
        <is>
          <t>done</t>
        </is>
      </c>
      <c r="Q701" t="inlineStr">
        <is>
          <t>done</t>
        </is>
      </c>
      <c r="R701" t="inlineStr">
        <is>
          <t>done</t>
        </is>
      </c>
      <c r="S701" t="inlineStr">
        <is>
          <t>done</t>
        </is>
      </c>
      <c r="T701" t="inlineStr">
        <is>
          <t>Done</t>
        </is>
      </c>
      <c r="Z701">
        <f>IF(OR(K334="",K334="TABLE"),"",
_xlfn.TEXTJOIN(", ",TRUE,
IF(E334&lt;&gt;"",E334&amp;K334,""),
IF(F334&lt;&gt;"",F334&amp;K334,""),
IF(G334&lt;&gt;"",G334&amp;K334,"")
))</f>
        <v/>
      </c>
      <c r="AA701">
        <f>IF(K334="","",IF(K334="TABLE","",K334))</f>
        <v/>
      </c>
      <c r="AB701">
        <f>IF(ISNUMBER(SEARCH("기존변경필요",SUBSTITUTE(TRIM(V334),CHAR(10)," "))),"",
IFERROR(
  _xlfn.XLOOKUP(AA334,'기존 end point'!B:B,'기존 end point'!B:B,,0),
""))</f>
        <v/>
      </c>
    </row>
    <row r="702">
      <c r="A702" t="n">
        <v>333</v>
      </c>
      <c r="B702" t="inlineStr">
        <is>
          <t>civil-nx/gen-nx</t>
        </is>
      </c>
      <c r="C702" t="inlineStr">
        <is>
          <t>Prestress</t>
        </is>
      </c>
      <c r="D702" t="inlineStr">
        <is>
          <t>Prestress Loads</t>
        </is>
      </c>
      <c r="E702" t="inlineStr">
        <is>
          <t>Prestress Beam Loads</t>
        </is>
      </c>
      <c r="H702" t="inlineStr">
        <is>
          <t>db</t>
        </is>
      </c>
      <c r="I702" t="inlineStr">
        <is>
          <t>prst</t>
        </is>
      </c>
      <c r="K702">
        <f>_xlfn.TEXTAFTER(L335,"/",-1)</f>
        <v/>
      </c>
      <c r="L702" t="inlineStr">
        <is>
          <t>/db/prst</t>
        </is>
      </c>
      <c r="M702" t="inlineStr">
        <is>
          <t>Prestress Beam Loads</t>
        </is>
      </c>
      <c r="N702" t="inlineStr">
        <is>
          <t>done</t>
        </is>
      </c>
      <c r="O702" t="inlineStr">
        <is>
          <t>done</t>
        </is>
      </c>
      <c r="P702" t="inlineStr">
        <is>
          <t>done</t>
        </is>
      </c>
      <c r="Q702" t="inlineStr">
        <is>
          <t>done</t>
        </is>
      </c>
      <c r="R702" t="inlineStr">
        <is>
          <t>done</t>
        </is>
      </c>
      <c r="S702" t="inlineStr">
        <is>
          <t>done</t>
        </is>
      </c>
      <c r="T702" t="inlineStr">
        <is>
          <t>Done</t>
        </is>
      </c>
      <c r="Z702">
        <f>IF(OR(K335="",K335="TABLE"),"",
_xlfn.TEXTJOIN(", ",TRUE,
IF(E335&lt;&gt;"",E335&amp;K335,""),
IF(F335&lt;&gt;"",F335&amp;K335,""),
IF(G335&lt;&gt;"",G335&amp;K335,"")
))</f>
        <v/>
      </c>
      <c r="AA702">
        <f>IF(K335="","",IF(K335="TABLE","",K335))</f>
        <v/>
      </c>
      <c r="AB702">
        <f>IF(ISNUMBER(SEARCH("기존변경필요",SUBSTITUTE(TRIM(V335),CHAR(10)," "))),"",
IFERROR(
  _xlfn.XLOOKUP(AA335,'기존 end point'!B:B,'기존 end point'!B:B,,0),
""))</f>
        <v/>
      </c>
    </row>
    <row r="703">
      <c r="A703" t="n">
        <v>334</v>
      </c>
      <c r="B703" t="inlineStr">
        <is>
          <t>civil-nx/gen-nx</t>
        </is>
      </c>
      <c r="C703" t="inlineStr">
        <is>
          <t>Prestress</t>
        </is>
      </c>
      <c r="D703" t="inlineStr">
        <is>
          <t>Prestress Loads</t>
        </is>
      </c>
      <c r="E703" t="inlineStr">
        <is>
          <t>Pretension Loads</t>
        </is>
      </c>
      <c r="H703" t="inlineStr">
        <is>
          <t>db</t>
        </is>
      </c>
      <c r="I703" t="inlineStr">
        <is>
          <t>ptns</t>
        </is>
      </c>
      <c r="K703">
        <f>_xlfn.TEXTAFTER(L336,"/",-1)</f>
        <v/>
      </c>
      <c r="L703" t="inlineStr">
        <is>
          <t>/db/ptns</t>
        </is>
      </c>
      <c r="M703" t="inlineStr">
        <is>
          <t>Pretension Loads</t>
        </is>
      </c>
      <c r="N703" t="inlineStr">
        <is>
          <t>done</t>
        </is>
      </c>
      <c r="O703" t="inlineStr">
        <is>
          <t>done</t>
        </is>
      </c>
      <c r="P703" t="inlineStr">
        <is>
          <t>done</t>
        </is>
      </c>
      <c r="Q703" t="inlineStr">
        <is>
          <t>done</t>
        </is>
      </c>
      <c r="R703" t="inlineStr">
        <is>
          <t>done</t>
        </is>
      </c>
      <c r="S703" t="inlineStr">
        <is>
          <t>done</t>
        </is>
      </c>
      <c r="T703" t="inlineStr">
        <is>
          <t>Done</t>
        </is>
      </c>
      <c r="Z703">
        <f>IF(OR(K336="",K336="TABLE"),"",
_xlfn.TEXTJOIN(", ",TRUE,
IF(E336&lt;&gt;"",E336&amp;K336,""),
IF(F336&lt;&gt;"",F336&amp;K336,""),
IF(G336&lt;&gt;"",G336&amp;K336,"")
))</f>
        <v/>
      </c>
      <c r="AA703">
        <f>IF(K336="","",IF(K336="TABLE","",K336))</f>
        <v/>
      </c>
      <c r="AB703">
        <f>IF(ISNUMBER(SEARCH("기존변경필요",SUBSTITUTE(TRIM(V336),CHAR(10)," "))),"",
IFERROR(
  _xlfn.XLOOKUP(AA336,'기존 end point'!B:B,'기존 end point'!B:B,,0),
""))</f>
        <v/>
      </c>
    </row>
    <row r="704">
      <c r="A704" t="n">
        <v>335</v>
      </c>
      <c r="B704" t="inlineStr">
        <is>
          <t>civil-nx/gen-nx</t>
        </is>
      </c>
      <c r="C704" t="inlineStr">
        <is>
          <t>Prestress</t>
        </is>
      </c>
      <c r="D704" t="inlineStr">
        <is>
          <t>Prestress Loads</t>
        </is>
      </c>
      <c r="E704" t="inlineStr">
        <is>
          <t>External Type Loadcase</t>
        </is>
      </c>
      <c r="H704" t="inlineStr">
        <is>
          <t>db</t>
        </is>
      </c>
      <c r="I704" t="inlineStr">
        <is>
          <t>exld</t>
        </is>
      </c>
      <c r="K704">
        <f>_xlfn.TEXTAFTER(L337,"/",-1)</f>
        <v/>
      </c>
      <c r="L704" t="inlineStr">
        <is>
          <t>/db/exld</t>
        </is>
      </c>
      <c r="M704" t="inlineStr">
        <is>
          <t>External Type Load Case for Pretension</t>
        </is>
      </c>
      <c r="N704" t="inlineStr">
        <is>
          <t>done</t>
        </is>
      </c>
      <c r="O704" t="inlineStr">
        <is>
          <t>done</t>
        </is>
      </c>
      <c r="P704" t="inlineStr">
        <is>
          <t>done</t>
        </is>
      </c>
      <c r="Q704" t="inlineStr">
        <is>
          <t>done</t>
        </is>
      </c>
      <c r="R704" t="inlineStr">
        <is>
          <t>done</t>
        </is>
      </c>
      <c r="S704" t="inlineStr">
        <is>
          <t>done</t>
        </is>
      </c>
      <c r="T704" t="inlineStr">
        <is>
          <t>Done</t>
        </is>
      </c>
      <c r="Z704">
        <f>IF(OR(K337="",K337="TABLE"),"",
_xlfn.TEXTJOIN(", ",TRUE,
IF(E337&lt;&gt;"",E337&amp;K337,""),
IF(F337&lt;&gt;"",F337&amp;K337,""),
IF(G337&lt;&gt;"",G337&amp;K337,"")
))</f>
        <v/>
      </c>
      <c r="AA704">
        <f>IF(K337="","",IF(K337="TABLE","",K337))</f>
        <v/>
      </c>
      <c r="AB704">
        <f>IF(ISNUMBER(SEARCH("기존변경필요",SUBSTITUTE(TRIM(V337),CHAR(10)," "))),"",
IFERROR(
  _xlfn.XLOOKUP(AA337,'기존 end point'!B:B,'기존 end point'!B:B,,0),
""))</f>
        <v/>
      </c>
    </row>
    <row r="705">
      <c r="A705" t="n">
        <v>336</v>
      </c>
      <c r="B705" t="inlineStr">
        <is>
          <t>civil-nx/gen-nx</t>
        </is>
      </c>
      <c r="C705" t="inlineStr">
        <is>
          <t>Prestress</t>
        </is>
      </c>
      <c r="D705" t="inlineStr">
        <is>
          <t>Load Tables</t>
        </is>
      </c>
      <c r="E705" t="inlineStr">
        <is>
          <t>Prestress Load</t>
        </is>
      </c>
      <c r="F705" t="inlineStr">
        <is>
          <t>Prestress Loads</t>
        </is>
      </c>
      <c r="T705" t="inlineStr">
        <is>
          <t>none</t>
        </is>
      </c>
      <c r="Z705">
        <f>IF(OR(K338="",K338="TABLE"),"",
_xlfn.TEXTJOIN(", ",TRUE,
IF(E338&lt;&gt;"",E338&amp;K338,""),
IF(F338&lt;&gt;"",F338&amp;K338,""),
IF(G338&lt;&gt;"",G338&amp;K338,"")
))</f>
        <v/>
      </c>
      <c r="AA705">
        <f>IF(K338="","",IF(K338="TABLE","",K338))</f>
        <v/>
      </c>
      <c r="AB705">
        <f>IF(ISNUMBER(SEARCH("기존변경필요",SUBSTITUTE(TRIM(V338),CHAR(10)," "))),"",
IFERROR(
  _xlfn.XLOOKUP(AA338,'기존 end point'!B:B,'기존 end point'!B:B,,0),
""))</f>
        <v/>
      </c>
    </row>
    <row r="706">
      <c r="A706" t="n">
        <v>337</v>
      </c>
      <c r="B706" t="inlineStr">
        <is>
          <t>civil-nx/gen-nx</t>
        </is>
      </c>
      <c r="C706" t="inlineStr">
        <is>
          <t>Prestress</t>
        </is>
      </c>
      <c r="D706" t="inlineStr">
        <is>
          <t>Load Tables</t>
        </is>
      </c>
      <c r="E706" t="inlineStr">
        <is>
          <t>Prestress Load</t>
        </is>
      </c>
      <c r="F706" t="inlineStr">
        <is>
          <t>Pretension Loads</t>
        </is>
      </c>
      <c r="T706" t="inlineStr">
        <is>
          <t>none</t>
        </is>
      </c>
      <c r="Z706">
        <f>IF(OR(K339="",K339="TABLE"),"",
_xlfn.TEXTJOIN(", ",TRUE,
IF(E339&lt;&gt;"",E339&amp;K339,""),
IF(F339&lt;&gt;"",F339&amp;K339,""),
IF(G339&lt;&gt;"",G339&amp;K339,"")
))</f>
        <v/>
      </c>
      <c r="AA706">
        <f>IF(K339="","",IF(K339="TABLE","",K339))</f>
        <v/>
      </c>
      <c r="AB706">
        <f>IF(ISNUMBER(SEARCH("기존변경필요",SUBSTITUTE(TRIM(V339),CHAR(10)," "))),"",
IFERROR(
  _xlfn.XLOOKUP(AA339,'기존 end point'!B:B,'기존 end point'!B:B,,0),
""))</f>
        <v/>
      </c>
    </row>
    <row r="707">
      <c r="A707" t="n">
        <v>338</v>
      </c>
      <c r="B707" t="inlineStr">
        <is>
          <t>civil-nx/gen-nx</t>
        </is>
      </c>
      <c r="C707" t="inlineStr">
        <is>
          <t>Prestress</t>
        </is>
      </c>
      <c r="D707" t="inlineStr">
        <is>
          <t>Load Tables</t>
        </is>
      </c>
      <c r="E707" t="inlineStr">
        <is>
          <t>Prestress Load</t>
        </is>
      </c>
      <c r="F707" t="inlineStr">
        <is>
          <t>Tendon Prestress Loads</t>
        </is>
      </c>
      <c r="T707" t="inlineStr">
        <is>
          <t>none</t>
        </is>
      </c>
      <c r="Z707">
        <f>IF(OR(K340="",K340="TABLE"),"",
_xlfn.TEXTJOIN(", ",TRUE,
IF(E340&lt;&gt;"",E340&amp;K340,""),
IF(F340&lt;&gt;"",F340&amp;K340,""),
IF(G340&lt;&gt;"",G340&amp;K340,"")
))</f>
        <v/>
      </c>
      <c r="AA707">
        <f>IF(K340="","",IF(K340="TABLE","",K340))</f>
        <v/>
      </c>
      <c r="AB707">
        <f>IF(ISNUMBER(SEARCH("기존변경필요",SUBSTITUTE(TRIM(V340),CHAR(10)," "))),"",
IFERROR(
  _xlfn.XLOOKUP(AA340,'기존 end point'!B:B,'기존 end point'!B:B,,0),
""))</f>
        <v/>
      </c>
    </row>
    <row r="708" hidden="1">
      <c r="A708" t="n">
        <v>339</v>
      </c>
      <c r="B708" t="inlineStr">
        <is>
          <t>civil-nx/gen-nx</t>
        </is>
      </c>
      <c r="C708" t="inlineStr">
        <is>
          <t>Moving Load</t>
        </is>
      </c>
      <c r="D708" t="inlineStr">
        <is>
          <t>Moving Load Code</t>
        </is>
      </c>
      <c r="E708" t="inlineStr">
        <is>
          <t>Moving Load Code</t>
        </is>
      </c>
      <c r="H708" t="inlineStr">
        <is>
          <t>db</t>
        </is>
      </c>
      <c r="I708" t="inlineStr">
        <is>
          <t>mvcd</t>
        </is>
      </c>
      <c r="K708">
        <f>_xlfn.TEXTAFTER(L341,"/",-1)</f>
        <v/>
      </c>
      <c r="L708" t="inlineStr">
        <is>
          <t>/db/mvcd</t>
        </is>
      </c>
      <c r="M708" t="inlineStr">
        <is>
          <t>Moving Load Code</t>
        </is>
      </c>
      <c r="N708" t="inlineStr">
        <is>
          <t>done</t>
        </is>
      </c>
      <c r="O708" t="inlineStr">
        <is>
          <t>done</t>
        </is>
      </c>
      <c r="P708" t="inlineStr">
        <is>
          <t>done</t>
        </is>
      </c>
      <c r="Q708" t="inlineStr">
        <is>
          <t>done</t>
        </is>
      </c>
      <c r="R708" t="inlineStr">
        <is>
          <t>done</t>
        </is>
      </c>
      <c r="S708" t="inlineStr">
        <is>
          <t>done</t>
        </is>
      </c>
      <c r="T708" t="inlineStr">
        <is>
          <t>Done</t>
        </is>
      </c>
      <c r="Z708">
        <f>IF(OR(K341="",K341="TABLE"),"",
_xlfn.TEXTJOIN(", ",TRUE,
IF(E341&lt;&gt;"",E341&amp;K341,""),
IF(F341&lt;&gt;"",F341&amp;K341,""),
IF(G341&lt;&gt;"",G341&amp;K341,"")
))</f>
        <v/>
      </c>
      <c r="AA708">
        <f>IF(K341="","",IF(K341="TABLE","",K341))</f>
        <v/>
      </c>
      <c r="AB708">
        <f>IF(ISNUMBER(SEARCH("기존변경필요",SUBSTITUTE(TRIM(V341),CHAR(10)," "))),"",
IFERROR(
  _xlfn.XLOOKUP(AA341,'기존 end point'!B:B,'기존 end point'!B:B,,0),
""))</f>
        <v/>
      </c>
    </row>
    <row r="709" hidden="1">
      <c r="A709" t="n">
        <v>340</v>
      </c>
      <c r="B709" t="inlineStr">
        <is>
          <t>civil-nx/gen-nx</t>
        </is>
      </c>
      <c r="C709" t="inlineStr">
        <is>
          <t>Moving Load</t>
        </is>
      </c>
      <c r="D709" t="inlineStr">
        <is>
          <t>Moving Load Analysis Data</t>
        </is>
      </c>
      <c r="E709" t="inlineStr">
        <is>
          <t>Traffic Line Lanes</t>
        </is>
      </c>
      <c r="H709" t="inlineStr">
        <is>
          <t>db</t>
        </is>
      </c>
      <c r="I709" t="inlineStr">
        <is>
          <t>llan</t>
        </is>
      </c>
      <c r="K709">
        <f>_xlfn.TEXTAFTER(L342,"/",-1)</f>
        <v/>
      </c>
      <c r="L709" t="inlineStr">
        <is>
          <t>/db/llan</t>
        </is>
      </c>
      <c r="M709" t="inlineStr">
        <is>
          <t>Traffic Line Lanes</t>
        </is>
      </c>
      <c r="N709" t="inlineStr">
        <is>
          <t>done</t>
        </is>
      </c>
      <c r="O709" t="inlineStr">
        <is>
          <t>done</t>
        </is>
      </c>
      <c r="P709" t="inlineStr">
        <is>
          <t>done</t>
        </is>
      </c>
      <c r="Q709" t="inlineStr">
        <is>
          <t>done</t>
        </is>
      </c>
      <c r="R709" t="inlineStr">
        <is>
          <t>done</t>
        </is>
      </c>
      <c r="S709" t="inlineStr">
        <is>
          <t>done</t>
        </is>
      </c>
      <c r="T709" t="inlineStr">
        <is>
          <t>Done</t>
        </is>
      </c>
      <c r="Z709">
        <f>IF(OR(K342="",K342="TABLE"),"",
_xlfn.TEXTJOIN(", ",TRUE,
IF(E342&lt;&gt;"",E342&amp;K342,""),
IF(F342&lt;&gt;"",F342&amp;K342,""),
IF(G342&lt;&gt;"",G342&amp;K342,"")
))</f>
        <v/>
      </c>
      <c r="AA709">
        <f>IF(K342="","",IF(K342="TABLE","",K342))</f>
        <v/>
      </c>
      <c r="AB709">
        <f>IF(ISNUMBER(SEARCH("기존변경필요",SUBSTITUTE(TRIM(V342),CHAR(10)," "))),"",
IFERROR(
  _xlfn.XLOOKUP(AA342,'기존 end point'!B:B,'기존 end point'!B:B,,0),
""))</f>
        <v/>
      </c>
    </row>
    <row r="710" hidden="1">
      <c r="A710" s="26" t="n"/>
      <c r="B710" s="26" t="n"/>
      <c r="C710" s="26" t="inlineStr">
        <is>
          <t>DB_Moving Loads</t>
        </is>
      </c>
      <c r="D710" s="26" t="inlineStr">
        <is>
          <t>DB_Moving Loads</t>
        </is>
      </c>
      <c r="E710" s="26" t="inlineStr">
        <is>
          <t>Traffic Line Lanes - China</t>
        </is>
      </c>
      <c r="F710" s="26" t="n"/>
      <c r="G710" s="26" t="n"/>
      <c r="H710" s="26" t="inlineStr">
        <is>
          <t>DB</t>
        </is>
      </c>
      <c r="I710" s="26" t="inlineStr">
        <is>
          <t>LLANCH</t>
        </is>
      </c>
      <c r="J710" s="26" t="n"/>
      <c r="K710" s="26" t="n"/>
      <c r="L710" s="26" t="inlineStr">
        <is>
          <t>/DB/LLANCH</t>
        </is>
      </c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inlineStr">
        <is>
          <t>DELETE, GET, POST, PUT</t>
        </is>
      </c>
      <c r="W710" s="26" t="n"/>
      <c r="X710" s="26" t="n"/>
    </row>
    <row r="711" hidden="1">
      <c r="A711" s="26" t="n"/>
      <c r="B711" s="26" t="n"/>
      <c r="C711" s="26" t="inlineStr">
        <is>
          <t>DB_Moving Loads</t>
        </is>
      </c>
      <c r="D711" s="26" t="inlineStr">
        <is>
          <t>DB_Moving Loads</t>
        </is>
      </c>
      <c r="E711" s="26" t="inlineStr">
        <is>
          <t>Traffic Line Lanes - India</t>
        </is>
      </c>
      <c r="F711" s="26" t="n"/>
      <c r="G711" s="26" t="n"/>
      <c r="H711" s="26" t="inlineStr">
        <is>
          <t>DB</t>
        </is>
      </c>
      <c r="I711" s="26" t="inlineStr">
        <is>
          <t>LLANID</t>
        </is>
      </c>
      <c r="J711" s="26" t="n"/>
      <c r="K711" s="26" t="n"/>
      <c r="L711" s="26" t="inlineStr">
        <is>
          <t>/DB/LLANID</t>
        </is>
      </c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inlineStr">
        <is>
          <t>DELETE, GET, POST, PUT</t>
        </is>
      </c>
      <c r="W711" s="26" t="n"/>
      <c r="X711" s="26" t="n"/>
    </row>
    <row r="712" hidden="1">
      <c r="A712" s="26" t="n"/>
      <c r="B712" s="26" t="n"/>
      <c r="C712" s="26" t="inlineStr">
        <is>
          <t>DB_Moving Loads</t>
        </is>
      </c>
      <c r="D712" s="26" t="inlineStr">
        <is>
          <t>DB_Moving Loads</t>
        </is>
      </c>
      <c r="E712" s="26" t="n"/>
      <c r="F712" s="26" t="n"/>
      <c r="G712" s="26" t="n"/>
      <c r="H712" s="26" t="inlineStr">
        <is>
          <t>DB</t>
        </is>
      </c>
      <c r="I712" s="26" t="inlineStr">
        <is>
          <t>LLANJP</t>
        </is>
      </c>
      <c r="J712" s="26" t="n"/>
      <c r="K712" s="26" t="n"/>
      <c r="L712" s="26" t="inlineStr">
        <is>
          <t>/DB/LLANJP</t>
        </is>
      </c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inlineStr">
        <is>
          <t>DELETE, GET, POST, PUT</t>
        </is>
      </c>
      <c r="W712" s="26" t="n"/>
      <c r="X712" s="26" t="n"/>
    </row>
    <row r="713" hidden="1">
      <c r="A713" s="26" t="n"/>
      <c r="B713" s="26" t="n"/>
      <c r="C713" s="26" t="inlineStr">
        <is>
          <t>DB_Moving Loads</t>
        </is>
      </c>
      <c r="D713" s="26" t="inlineStr">
        <is>
          <t>DB_Moving Loads</t>
        </is>
      </c>
      <c r="E713" s="26" t="inlineStr">
        <is>
          <t>Traffic Line Lanes - Transverse</t>
        </is>
      </c>
      <c r="F713" s="26" t="n"/>
      <c r="G713" s="26" t="n"/>
      <c r="H713" s="26" t="inlineStr">
        <is>
          <t>DB</t>
        </is>
      </c>
      <c r="I713" s="26" t="inlineStr">
        <is>
          <t>LLANTR</t>
        </is>
      </c>
      <c r="J713" s="26" t="n"/>
      <c r="K713" s="26" t="n"/>
      <c r="L713" s="26" t="inlineStr">
        <is>
          <t>/DB/LLANTR</t>
        </is>
      </c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inlineStr">
        <is>
          <t>DELETE, GET, POST, PUT</t>
        </is>
      </c>
      <c r="W713" s="26" t="n"/>
      <c r="X713" s="26" t="n"/>
    </row>
    <row r="714" hidden="1">
      <c r="A714" s="26" t="n"/>
      <c r="B714" s="26" t="n"/>
      <c r="C714" s="26" t="inlineStr">
        <is>
          <t>DB_Moving Loads</t>
        </is>
      </c>
      <c r="D714" s="26" t="inlineStr">
        <is>
          <t>DB_Moving Loads</t>
        </is>
      </c>
      <c r="E714" s="26" t="inlineStr">
        <is>
          <t>Traffic Line Lanes - Moving Load Optimizaion</t>
        </is>
      </c>
      <c r="F714" s="26" t="n"/>
      <c r="G714" s="26" t="n"/>
      <c r="H714" s="26" t="inlineStr">
        <is>
          <t>DB</t>
        </is>
      </c>
      <c r="I714" s="26" t="inlineStr">
        <is>
          <t>LLANOP</t>
        </is>
      </c>
      <c r="J714" s="26" t="n"/>
      <c r="K714" s="26" t="n"/>
      <c r="L714" s="26" t="inlineStr">
        <is>
          <t>/DB/LLANOP</t>
        </is>
      </c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inlineStr">
        <is>
          <t>DELETE, GET, POST, PUT</t>
        </is>
      </c>
      <c r="W714" s="26" t="n"/>
      <c r="X714" s="26" t="n"/>
    </row>
    <row r="715" hidden="1">
      <c r="A715" t="n">
        <v>341</v>
      </c>
      <c r="B715" t="inlineStr">
        <is>
          <t>civil-nx/gen-nx</t>
        </is>
      </c>
      <c r="C715" t="inlineStr">
        <is>
          <t>Moving Load</t>
        </is>
      </c>
      <c r="D715" t="inlineStr">
        <is>
          <t>Moving Load Analysis Data</t>
        </is>
      </c>
      <c r="E715" t="inlineStr">
        <is>
          <t>Traffic Surface Lanes</t>
        </is>
      </c>
      <c r="H715" t="inlineStr">
        <is>
          <t>db</t>
        </is>
      </c>
      <c r="I715" t="inlineStr">
        <is>
          <t>slan</t>
        </is>
      </c>
      <c r="K715">
        <f>_xlfn.TEXTAFTER(L343,"/",-1)</f>
        <v/>
      </c>
      <c r="L715" t="inlineStr">
        <is>
          <t>/db/slan</t>
        </is>
      </c>
      <c r="M715" t="inlineStr">
        <is>
          <t>Traffic Surface Lanes</t>
        </is>
      </c>
      <c r="N715" t="inlineStr">
        <is>
          <t>done</t>
        </is>
      </c>
      <c r="O715" t="inlineStr">
        <is>
          <t>done</t>
        </is>
      </c>
      <c r="P715" t="inlineStr">
        <is>
          <t>done</t>
        </is>
      </c>
      <c r="Q715" t="inlineStr">
        <is>
          <t>done</t>
        </is>
      </c>
      <c r="R715" t="inlineStr">
        <is>
          <t>done</t>
        </is>
      </c>
      <c r="S715" t="inlineStr">
        <is>
          <t>done</t>
        </is>
      </c>
      <c r="T715" t="inlineStr">
        <is>
          <t>Done</t>
        </is>
      </c>
      <c r="Z715">
        <f>IF(OR(K343="",K343="TABLE"),"",
_xlfn.TEXTJOIN(", ",TRUE,
IF(E343&lt;&gt;"",E343&amp;K343,""),
IF(F343&lt;&gt;"",F343&amp;K343,""),
IF(G343&lt;&gt;"",G343&amp;K343,"")
))</f>
        <v/>
      </c>
      <c r="AA715">
        <f>IF(K343="","",IF(K343="TABLE","",K343))</f>
        <v/>
      </c>
      <c r="AB715">
        <f>IF(ISNUMBER(SEARCH("기존변경필요",SUBSTITUTE(TRIM(V343),CHAR(10)," "))),"",
IFERROR(
  _xlfn.XLOOKUP(AA343,'기존 end point'!B:B,'기존 end point'!B:B,,0),
""))</f>
        <v/>
      </c>
    </row>
    <row r="716" hidden="1">
      <c r="A716" s="26" t="n"/>
      <c r="B716" s="26" t="n"/>
      <c r="C716" s="26" t="inlineStr">
        <is>
          <t>DB_Moving Loads</t>
        </is>
      </c>
      <c r="D716" s="26" t="inlineStr">
        <is>
          <t>DB_Moving Loads</t>
        </is>
      </c>
      <c r="E716" s="26" t="inlineStr">
        <is>
          <t>Traffic Surface Lanes - China</t>
        </is>
      </c>
      <c r="F716" s="26" t="n"/>
      <c r="G716" s="26" t="n"/>
      <c r="H716" s="26" t="inlineStr">
        <is>
          <t>DB</t>
        </is>
      </c>
      <c r="I716" s="26" t="inlineStr">
        <is>
          <t>SLANCH</t>
        </is>
      </c>
      <c r="J716" s="26" t="n"/>
      <c r="K716" s="26" t="n"/>
      <c r="L716" s="26" t="inlineStr">
        <is>
          <t>/DB/SLANCH</t>
        </is>
      </c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inlineStr">
        <is>
          <t>DELETE, GET, POST, PUT</t>
        </is>
      </c>
      <c r="W716" s="26" t="n"/>
      <c r="X716" s="26" t="n"/>
    </row>
    <row r="717" hidden="1">
      <c r="A717" s="26" t="n"/>
      <c r="B717" s="26" t="n"/>
      <c r="C717" s="26" t="inlineStr">
        <is>
          <t>DB_Moving Loads</t>
        </is>
      </c>
      <c r="D717" s="26" t="inlineStr">
        <is>
          <t>DB_Moving Loads</t>
        </is>
      </c>
      <c r="E717" s="26" t="inlineStr">
        <is>
          <t>Traffic Surface Lanes - Moving Load Optimization</t>
        </is>
      </c>
      <c r="F717" s="26" t="n"/>
      <c r="G717" s="26" t="n"/>
      <c r="H717" s="26" t="inlineStr">
        <is>
          <t>DB</t>
        </is>
      </c>
      <c r="I717" s="26" t="inlineStr">
        <is>
          <t>SLANOP</t>
        </is>
      </c>
      <c r="J717" s="26" t="n"/>
      <c r="K717" s="26" t="n"/>
      <c r="L717" s="26" t="inlineStr">
        <is>
          <t>/DB/SLANOP</t>
        </is>
      </c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inlineStr">
        <is>
          <t>DELETE, GET, POST, PUT</t>
        </is>
      </c>
      <c r="W717" s="26" t="n"/>
      <c r="X717" s="26" t="n"/>
    </row>
    <row r="718" hidden="1">
      <c r="A718" s="26" t="n"/>
      <c r="B718" s="26" t="n"/>
      <c r="C718" s="26" t="inlineStr">
        <is>
          <t>DB_Moving Loads</t>
        </is>
      </c>
      <c r="D718" s="26" t="inlineStr">
        <is>
          <t>DB_Moving Loads</t>
        </is>
      </c>
      <c r="E718" s="26" t="inlineStr">
        <is>
          <t>Vehicles - Taiwan</t>
        </is>
      </c>
      <c r="F718" s="26" t="n"/>
      <c r="G718" s="26" t="n"/>
      <c r="H718" s="26" t="inlineStr">
        <is>
          <t>DB</t>
        </is>
      </c>
      <c r="I718" s="26" t="inlineStr">
        <is>
          <t>MVHL</t>
        </is>
      </c>
      <c r="J718" s="26" t="n"/>
      <c r="K718" s="26" t="n"/>
      <c r="L718" s="26" t="inlineStr">
        <is>
          <t>/DB/MVHL</t>
        </is>
      </c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inlineStr">
        <is>
          <t>DELETE, GET, POST, PUT</t>
        </is>
      </c>
      <c r="W718" s="26" t="n"/>
      <c r="X718" s="26" t="n"/>
    </row>
    <row r="719" hidden="1">
      <c r="A719" s="26" t="n"/>
      <c r="B719" s="26" t="n"/>
      <c r="C719" s="26" t="inlineStr">
        <is>
          <t>DB_Moving Loads</t>
        </is>
      </c>
      <c r="D719" s="26" t="inlineStr">
        <is>
          <t>DB_Moving Loads</t>
        </is>
      </c>
      <c r="E719" s="26" t="inlineStr">
        <is>
          <t>Vehicles - Transverse</t>
        </is>
      </c>
      <c r="F719" s="26" t="n"/>
      <c r="G719" s="26" t="n"/>
      <c r="H719" s="26" t="inlineStr">
        <is>
          <t>DB</t>
        </is>
      </c>
      <c r="I719" s="26" t="inlineStr">
        <is>
          <t>MVHLTR</t>
        </is>
      </c>
      <c r="J719" s="26" t="n"/>
      <c r="K719" s="26" t="n"/>
      <c r="L719" s="26" t="inlineStr">
        <is>
          <t>/DB/MVHLTR</t>
        </is>
      </c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inlineStr">
        <is>
          <t>DELETE, GET, POST, PUT</t>
        </is>
      </c>
      <c r="W719" s="26" t="n"/>
      <c r="X719" s="26" t="n"/>
    </row>
    <row r="720" hidden="1">
      <c r="A720" t="n">
        <v>342</v>
      </c>
      <c r="B720" t="inlineStr">
        <is>
          <t>civil-nx/gen-nx</t>
        </is>
      </c>
      <c r="C720" t="inlineStr">
        <is>
          <t>Moving Load</t>
        </is>
      </c>
      <c r="D720" t="inlineStr">
        <is>
          <t>Moving Load Analysis Data</t>
        </is>
      </c>
      <c r="E720" t="inlineStr">
        <is>
          <t>Vehicles</t>
        </is>
      </c>
      <c r="T720" t="inlineStr">
        <is>
          <t>none</t>
        </is>
      </c>
      <c r="Z720">
        <f>IF(OR(K344="",K344="TABLE"),"",
_xlfn.TEXTJOIN(", ",TRUE,
IF(E344&lt;&gt;"",E344&amp;K344,""),
IF(F344&lt;&gt;"",F344&amp;K344,""),
IF(G344&lt;&gt;"",G344&amp;K344,"")
))</f>
        <v/>
      </c>
      <c r="AA720">
        <f>IF(K344="","",IF(K344="TABLE","",K344))</f>
        <v/>
      </c>
      <c r="AB720">
        <f>IF(ISNUMBER(SEARCH("기존변경필요",SUBSTITUTE(TRIM(V344),CHAR(10)," "))),"",
IFERROR(
  _xlfn.XLOOKUP(AA344,'기존 end point'!B:B,'기존 end point'!B:B,,0),
""))</f>
        <v/>
      </c>
    </row>
    <row r="721" hidden="1">
      <c r="A721" t="n">
        <v>343</v>
      </c>
      <c r="B721" t="inlineStr">
        <is>
          <t>civil-nx/gen-nx</t>
        </is>
      </c>
      <c r="C721" t="inlineStr">
        <is>
          <t>Moving Load</t>
        </is>
      </c>
      <c r="D721" t="inlineStr">
        <is>
          <t>Moving Load Analysis Data</t>
        </is>
      </c>
      <c r="E721" t="inlineStr">
        <is>
          <t>Moving Load Cases</t>
        </is>
      </c>
      <c r="H721" t="inlineStr">
        <is>
          <t>db</t>
        </is>
      </c>
      <c r="I721" t="inlineStr">
        <is>
          <t>mvld</t>
        </is>
      </c>
      <c r="K721">
        <f>_xlfn.TEXTAFTER(L345,"/",-1)</f>
        <v/>
      </c>
      <c r="L721" t="inlineStr">
        <is>
          <t>/db/mvld</t>
        </is>
      </c>
      <c r="M721" t="inlineStr">
        <is>
          <t>Moving Load Cases</t>
        </is>
      </c>
      <c r="N721" t="inlineStr">
        <is>
          <t>done</t>
        </is>
      </c>
      <c r="O721" t="inlineStr">
        <is>
          <t>done</t>
        </is>
      </c>
      <c r="P721" t="inlineStr">
        <is>
          <t>done</t>
        </is>
      </c>
      <c r="Q721" t="inlineStr">
        <is>
          <t>done</t>
        </is>
      </c>
      <c r="R721" t="inlineStr">
        <is>
          <t>done</t>
        </is>
      </c>
      <c r="S721" t="inlineStr">
        <is>
          <t>done</t>
        </is>
      </c>
      <c r="T721" t="inlineStr">
        <is>
          <t>Done</t>
        </is>
      </c>
      <c r="Z721">
        <f>IF(OR(K345="",K345="TABLE"),"",
_xlfn.TEXTJOIN(", ",TRUE,
IF(E345&lt;&gt;"",E345&amp;K345,""),
IF(F345&lt;&gt;"",F345&amp;K345,""),
IF(G345&lt;&gt;"",G345&amp;K345,"")
))</f>
        <v/>
      </c>
      <c r="AA721">
        <f>IF(K345="","",IF(K345="TABLE","",K345))</f>
        <v/>
      </c>
      <c r="AB721">
        <f>IF(ISNUMBER(SEARCH("기존변경필요",SUBSTITUTE(TRIM(V345),CHAR(10)," "))),"",
IFERROR(
  _xlfn.XLOOKUP(AA345,'기존 end point'!B:B,'기존 end point'!B:B,,0),
""))</f>
        <v/>
      </c>
    </row>
    <row r="722" hidden="1">
      <c r="A722" s="26" t="n"/>
      <c r="B722" s="26" t="n"/>
      <c r="C722" s="26" t="inlineStr">
        <is>
          <t>DB_Moving Loads</t>
        </is>
      </c>
      <c r="D722" s="26" t="inlineStr">
        <is>
          <t>DB_Moving Loads</t>
        </is>
      </c>
      <c r="E722" s="26" t="inlineStr">
        <is>
          <t>Moving Load Cases - China</t>
        </is>
      </c>
      <c r="F722" s="26" t="n"/>
      <c r="G722" s="26" t="n"/>
      <c r="H722" s="26" t="inlineStr">
        <is>
          <t>DB</t>
        </is>
      </c>
      <c r="I722" s="26" t="inlineStr">
        <is>
          <t>MVLDCH</t>
        </is>
      </c>
      <c r="J722" s="26" t="n"/>
      <c r="K722" s="26" t="n"/>
      <c r="L722" s="26" t="inlineStr">
        <is>
          <t>/DB/MVLDCH</t>
        </is>
      </c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inlineStr">
        <is>
          <t>DELETE, GET, POST, PUT</t>
        </is>
      </c>
      <c r="W722" s="26" t="n"/>
      <c r="X722" s="26" t="n"/>
    </row>
    <row r="723" hidden="1">
      <c r="A723" s="26" t="n"/>
      <c r="B723" s="26" t="n"/>
      <c r="C723" s="26" t="inlineStr">
        <is>
          <t>DB_Moving Loads</t>
        </is>
      </c>
      <c r="D723" s="26" t="inlineStr">
        <is>
          <t>DB_Moving Loads</t>
        </is>
      </c>
      <c r="E723" s="26" t="inlineStr">
        <is>
          <t>Moving Load Cases - India</t>
        </is>
      </c>
      <c r="F723" s="26" t="n"/>
      <c r="G723" s="26" t="n"/>
      <c r="H723" s="26" t="inlineStr">
        <is>
          <t>DB</t>
        </is>
      </c>
      <c r="I723" s="26" t="inlineStr">
        <is>
          <t>MVLDID</t>
        </is>
      </c>
      <c r="J723" s="26" t="n"/>
      <c r="K723" s="26" t="n"/>
      <c r="L723" s="26" t="inlineStr">
        <is>
          <t>/DB/MVLDID</t>
        </is>
      </c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inlineStr">
        <is>
          <t>DELETE, GET, POST, PUT</t>
        </is>
      </c>
      <c r="W723" s="26" t="n"/>
      <c r="X723" s="26" t="n"/>
    </row>
    <row r="724" hidden="1">
      <c r="A724" s="26" t="n"/>
      <c r="B724" s="26" t="n"/>
      <c r="C724" s="26" t="inlineStr">
        <is>
          <t>DB_Moving Loads</t>
        </is>
      </c>
      <c r="D724" s="26" t="inlineStr">
        <is>
          <t>DB_Moving Loads</t>
        </is>
      </c>
      <c r="E724" s="26" t="inlineStr">
        <is>
          <t>Moving Load Cases - BS</t>
        </is>
      </c>
      <c r="F724" s="26" t="n"/>
      <c r="G724" s="26" t="n"/>
      <c r="H724" s="26" t="inlineStr">
        <is>
          <t>DB</t>
        </is>
      </c>
      <c r="I724" s="26" t="inlineStr">
        <is>
          <t>MVLDBS</t>
        </is>
      </c>
      <c r="J724" s="26" t="n"/>
      <c r="K724" s="26" t="n"/>
      <c r="L724" s="26" t="inlineStr">
        <is>
          <t>/DB/MVLDBS</t>
        </is>
      </c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inlineStr">
        <is>
          <t>DELETE, GET, POST, PUT</t>
        </is>
      </c>
      <c r="W724" s="26" t="n"/>
      <c r="X724" s="26" t="n"/>
    </row>
    <row r="725" hidden="1">
      <c r="A725" s="26" t="n"/>
      <c r="B725" s="26" t="n"/>
      <c r="C725" s="26" t="inlineStr">
        <is>
          <t>DB_Moving Loads</t>
        </is>
      </c>
      <c r="D725" s="26" t="inlineStr">
        <is>
          <t>DB_Moving Loads</t>
        </is>
      </c>
      <c r="E725" s="26" t="inlineStr">
        <is>
          <t>Moving Load Cases - Eurocode</t>
        </is>
      </c>
      <c r="F725" s="26" t="n"/>
      <c r="G725" s="26" t="n"/>
      <c r="H725" s="26" t="inlineStr">
        <is>
          <t>DB</t>
        </is>
      </c>
      <c r="I725" s="26" t="inlineStr">
        <is>
          <t>MVLDEU</t>
        </is>
      </c>
      <c r="J725" s="26" t="n"/>
      <c r="K725" s="26" t="n"/>
      <c r="L725" s="26" t="inlineStr">
        <is>
          <t>/DB/MVLDEU</t>
        </is>
      </c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inlineStr">
        <is>
          <t>DELETE, GET, POST, PUT</t>
        </is>
      </c>
      <c r="W725" s="26" t="n"/>
      <c r="X725" s="26" t="n"/>
    </row>
    <row r="726" hidden="1">
      <c r="A726" s="26" t="n"/>
      <c r="B726" s="26" t="n"/>
      <c r="C726" s="26" t="inlineStr">
        <is>
          <t>DB_Moving Loads</t>
        </is>
      </c>
      <c r="D726" s="26" t="inlineStr">
        <is>
          <t>DB_Moving Loads</t>
        </is>
      </c>
      <c r="E726" s="26" t="n"/>
      <c r="F726" s="26" t="n"/>
      <c r="G726" s="26" t="n"/>
      <c r="H726" s="26" t="inlineStr">
        <is>
          <t>DB</t>
        </is>
      </c>
      <c r="I726" s="26" t="inlineStr">
        <is>
          <t>MVLDJP</t>
        </is>
      </c>
      <c r="J726" s="26" t="n"/>
      <c r="K726" s="26" t="n"/>
      <c r="L726" s="26" t="inlineStr">
        <is>
          <t>/DB/MVLDJP</t>
        </is>
      </c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inlineStr">
        <is>
          <t>DELETE, GET, POST, PUT</t>
        </is>
      </c>
      <c r="W726" s="26" t="n"/>
      <c r="X726" s="26" t="n"/>
    </row>
    <row r="727" hidden="1">
      <c r="A727" s="26" t="n"/>
      <c r="B727" s="26" t="n"/>
      <c r="C727" s="26" t="inlineStr">
        <is>
          <t>DB_Moving Loads</t>
        </is>
      </c>
      <c r="D727" s="26" t="inlineStr">
        <is>
          <t>DB_Moving Loads</t>
        </is>
      </c>
      <c r="E727" s="26" t="inlineStr">
        <is>
          <t>Moving Load Cases - Poland</t>
        </is>
      </c>
      <c r="F727" s="26" t="n"/>
      <c r="G727" s="26" t="n"/>
      <c r="H727" s="26" t="inlineStr">
        <is>
          <t>DB</t>
        </is>
      </c>
      <c r="I727" s="26" t="inlineStr">
        <is>
          <t>MVLDPL</t>
        </is>
      </c>
      <c r="J727" s="26" t="n"/>
      <c r="K727" s="26" t="n"/>
      <c r="L727" s="26" t="inlineStr">
        <is>
          <t>/DB/MVLDPL</t>
        </is>
      </c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inlineStr">
        <is>
          <t>DELETE, GET, POST, PUT</t>
        </is>
      </c>
      <c r="W727" s="26" t="n"/>
      <c r="X727" s="26" t="n"/>
    </row>
    <row r="728" hidden="1">
      <c r="A728" s="26" t="n"/>
      <c r="B728" s="26" t="n"/>
      <c r="C728" s="26" t="inlineStr">
        <is>
          <t>DB_Moving Loads</t>
        </is>
      </c>
      <c r="D728" s="26" t="inlineStr">
        <is>
          <t>DB_Moving Loads</t>
        </is>
      </c>
      <c r="E728" s="26" t="inlineStr">
        <is>
          <t>Moving Load Cases - Transverse</t>
        </is>
      </c>
      <c r="F728" s="26" t="n"/>
      <c r="G728" s="26" t="n"/>
      <c r="H728" s="26" t="inlineStr">
        <is>
          <t>DB</t>
        </is>
      </c>
      <c r="I728" s="26" t="inlineStr">
        <is>
          <t>MVLDTR</t>
        </is>
      </c>
      <c r="J728" s="26" t="n"/>
      <c r="K728" s="26" t="n"/>
      <c r="L728" s="26" t="inlineStr">
        <is>
          <t>/DB/MVLDTR</t>
        </is>
      </c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inlineStr">
        <is>
          <t>DELETE, GET, POST, PUT</t>
        </is>
      </c>
      <c r="W728" s="26" t="n"/>
      <c r="X728" s="26" t="n"/>
    </row>
    <row r="729" hidden="1">
      <c r="A729" s="26" t="n"/>
      <c r="B729" s="26" t="n"/>
      <c r="C729" s="26" t="inlineStr">
        <is>
          <t>DB_Moving Loads</t>
        </is>
      </c>
      <c r="D729" s="26" t="inlineStr">
        <is>
          <t>DB_Moving Loads</t>
        </is>
      </c>
      <c r="E729" s="26" t="inlineStr">
        <is>
          <t>Concurrent Reaction Group</t>
        </is>
      </c>
      <c r="F729" s="26" t="n"/>
      <c r="G729" s="26" t="n"/>
      <c r="H729" s="26" t="inlineStr">
        <is>
          <t>DB</t>
        </is>
      </c>
      <c r="I729" s="26" t="inlineStr">
        <is>
          <t>CRGR</t>
        </is>
      </c>
      <c r="J729" s="26" t="n"/>
      <c r="K729" s="26" t="n"/>
      <c r="L729" s="26" t="inlineStr">
        <is>
          <t>/DB/CRGR</t>
        </is>
      </c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inlineStr">
        <is>
          <t>DELETE, GET, POST, PUT</t>
        </is>
      </c>
      <c r="W729" s="26" t="n"/>
      <c r="X729" s="26" t="n"/>
    </row>
    <row r="730" hidden="1">
      <c r="A730" s="26" t="n"/>
      <c r="B730" s="26" t="n"/>
      <c r="C730" s="26" t="inlineStr">
        <is>
          <t>DB_Moving Loads</t>
        </is>
      </c>
      <c r="D730" s="26" t="inlineStr">
        <is>
          <t>DB_Moving Loads</t>
        </is>
      </c>
      <c r="E730" s="26" t="inlineStr">
        <is>
          <t>Concurrent Joint Force Group</t>
        </is>
      </c>
      <c r="F730" s="26" t="n"/>
      <c r="G730" s="26" t="n"/>
      <c r="H730" s="26" t="inlineStr">
        <is>
          <t>DB</t>
        </is>
      </c>
      <c r="I730" s="26" t="inlineStr">
        <is>
          <t>CJFG</t>
        </is>
      </c>
      <c r="J730" s="26" t="n"/>
      <c r="K730" s="26" t="n"/>
      <c r="L730" s="26" t="inlineStr">
        <is>
          <t>/DB/CJFG</t>
        </is>
      </c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inlineStr">
        <is>
          <t>DELETE, GET, POST, PUT</t>
        </is>
      </c>
      <c r="W730" s="26" t="n"/>
      <c r="X730" s="26" t="n"/>
    </row>
    <row r="731" hidden="1">
      <c r="A731" t="n">
        <v>344</v>
      </c>
      <c r="B731" t="inlineStr">
        <is>
          <t>civil-nx/gen-nx</t>
        </is>
      </c>
      <c r="C731" t="inlineStr">
        <is>
          <t>Moving Load</t>
        </is>
      </c>
      <c r="D731" t="inlineStr">
        <is>
          <t>Advanced</t>
        </is>
      </c>
      <c r="E731" t="inlineStr">
        <is>
          <t>Vehicle Classes</t>
        </is>
      </c>
      <c r="H731" t="inlineStr">
        <is>
          <t>db</t>
        </is>
      </c>
      <c r="I731" t="inlineStr">
        <is>
          <t>mvhc</t>
        </is>
      </c>
      <c r="K731">
        <f>_xlfn.TEXTAFTER(L346,"/",-1)</f>
        <v/>
      </c>
      <c r="L731" t="inlineStr">
        <is>
          <t>/db/mvhc</t>
        </is>
      </c>
      <c r="M731" t="inlineStr">
        <is>
          <t>Vehicle Classes</t>
        </is>
      </c>
      <c r="N731" t="inlineStr">
        <is>
          <t>done</t>
        </is>
      </c>
      <c r="O731" t="inlineStr">
        <is>
          <t>done</t>
        </is>
      </c>
      <c r="P731" t="inlineStr">
        <is>
          <t>done</t>
        </is>
      </c>
      <c r="Q731" t="inlineStr">
        <is>
          <t>done</t>
        </is>
      </c>
      <c r="R731" t="inlineStr">
        <is>
          <t>done</t>
        </is>
      </c>
      <c r="S731" t="inlineStr">
        <is>
          <t>done</t>
        </is>
      </c>
      <c r="T731" t="inlineStr">
        <is>
          <t>Done</t>
        </is>
      </c>
      <c r="Z731">
        <f>IF(OR(K346="",K346="TABLE"),"",
_xlfn.TEXTJOIN(", ",TRUE,
IF(E346&lt;&gt;"",E346&amp;K346,""),
IF(F346&lt;&gt;"",F346&amp;K346,""),
IF(G346&lt;&gt;"",G346&amp;K346,"")
))</f>
        <v/>
      </c>
      <c r="AA731">
        <f>IF(K346="","",IF(K346="TABLE","",K346))</f>
        <v/>
      </c>
      <c r="AB731">
        <f>IF(ISNUMBER(SEARCH("기존변경필요",SUBSTITUTE(TRIM(V346),CHAR(10)," "))),"",
IFERROR(
  _xlfn.XLOOKUP(AA346,'기존 end point'!B:B,'기존 end point'!B:B,,0),
""))</f>
        <v/>
      </c>
    </row>
    <row r="732" hidden="1">
      <c r="A732" t="n">
        <v>345</v>
      </c>
      <c r="B732" t="inlineStr">
        <is>
          <t>civil-nx/gen-nx</t>
        </is>
      </c>
      <c r="C732" t="inlineStr">
        <is>
          <t>Moving Load</t>
        </is>
      </c>
      <c r="D732" t="inlineStr">
        <is>
          <t>Advanced</t>
        </is>
      </c>
      <c r="E732" t="inlineStr">
        <is>
          <t>Plate Element for Influ. Surface</t>
        </is>
      </c>
      <c r="H732" t="inlineStr">
        <is>
          <t>db</t>
        </is>
      </c>
      <c r="I732" t="inlineStr">
        <is>
          <t>sinf</t>
        </is>
      </c>
      <c r="K732">
        <f>_xlfn.TEXTAFTER(L347,"/",-1)</f>
        <v/>
      </c>
      <c r="L732" t="inlineStr">
        <is>
          <t>/db/sinf</t>
        </is>
      </c>
      <c r="M732" t="inlineStr">
        <is>
          <t>Plate Element for Influence Surface</t>
        </is>
      </c>
      <c r="N732" t="inlineStr">
        <is>
          <t>done</t>
        </is>
      </c>
      <c r="O732" t="inlineStr">
        <is>
          <t>done</t>
        </is>
      </c>
      <c r="P732" t="inlineStr">
        <is>
          <t>done</t>
        </is>
      </c>
      <c r="Q732" t="inlineStr">
        <is>
          <t>done</t>
        </is>
      </c>
      <c r="R732" t="inlineStr">
        <is>
          <t>done</t>
        </is>
      </c>
      <c r="S732" t="inlineStr">
        <is>
          <t>done</t>
        </is>
      </c>
      <c r="T732" t="inlineStr">
        <is>
          <t>Done</t>
        </is>
      </c>
      <c r="Z732">
        <f>IF(OR(K347="",K347="TABLE"),"",
_xlfn.TEXTJOIN(", ",TRUE,
IF(E347&lt;&gt;"",E347&amp;K347,""),
IF(F347&lt;&gt;"",F347&amp;K347,""),
IF(G347&lt;&gt;"",G347&amp;K347,"")
))</f>
        <v/>
      </c>
      <c r="AA732">
        <f>IF(K347="","",IF(K347="TABLE","",K347))</f>
        <v/>
      </c>
      <c r="AB732">
        <f>IF(ISNUMBER(SEARCH("기존변경필요",SUBSTITUTE(TRIM(V347),CHAR(10)," "))),"",
IFERROR(
  _xlfn.XLOOKUP(AA347,'기존 end point'!B:B,'기존 end point'!B:B,,0),
""))</f>
        <v/>
      </c>
    </row>
    <row r="733" hidden="1">
      <c r="A733" t="n">
        <v>346</v>
      </c>
      <c r="B733" t="inlineStr">
        <is>
          <t>civil-nx/gen-nx</t>
        </is>
      </c>
      <c r="C733" t="inlineStr">
        <is>
          <t>Moving Load</t>
        </is>
      </c>
      <c r="D733" t="inlineStr">
        <is>
          <t>Advanced</t>
        </is>
      </c>
      <c r="E733" t="inlineStr">
        <is>
          <t>Lane Support</t>
        </is>
      </c>
      <c r="F733" t="inlineStr">
        <is>
          <t>Lane Support-Nega. Moment</t>
        </is>
      </c>
      <c r="H733" t="inlineStr">
        <is>
          <t>db</t>
        </is>
      </c>
      <c r="I733" t="inlineStr">
        <is>
          <t>mlsp</t>
        </is>
      </c>
      <c r="K733">
        <f>_xlfn.TEXTAFTER(L348,"/",-1)</f>
        <v/>
      </c>
      <c r="L733" t="inlineStr">
        <is>
          <t>/db/mlsp</t>
        </is>
      </c>
      <c r="M733" t="inlineStr">
        <is>
          <t>Lane Support - Negative Moments at Interior Piers</t>
        </is>
      </c>
      <c r="N733" t="inlineStr">
        <is>
          <t>done</t>
        </is>
      </c>
      <c r="O733" t="inlineStr">
        <is>
          <t>done</t>
        </is>
      </c>
      <c r="P733" t="inlineStr">
        <is>
          <t>done</t>
        </is>
      </c>
      <c r="Q733" t="inlineStr">
        <is>
          <t>done</t>
        </is>
      </c>
      <c r="R733" t="inlineStr">
        <is>
          <t>done</t>
        </is>
      </c>
      <c r="S733" t="inlineStr">
        <is>
          <t>done</t>
        </is>
      </c>
      <c r="T733" t="inlineStr">
        <is>
          <t>Done</t>
        </is>
      </c>
      <c r="Z733">
        <f>IF(OR(K348="",K348="TABLE"),"",
_xlfn.TEXTJOIN(", ",TRUE,
IF(E348&lt;&gt;"",E348&amp;K348,""),
IF(F348&lt;&gt;"",F348&amp;K348,""),
IF(G348&lt;&gt;"",G348&amp;K348,"")
))</f>
        <v/>
      </c>
      <c r="AA733">
        <f>IF(K348="","",IF(K348="TABLE","",K348))</f>
        <v/>
      </c>
      <c r="AB733">
        <f>IF(ISNUMBER(SEARCH("기존변경필요",SUBSTITUTE(TRIM(V348),CHAR(10)," "))),"",
IFERROR(
  _xlfn.XLOOKUP(AA348,'기존 end point'!B:B,'기존 end point'!B:B,,0),
""))</f>
        <v/>
      </c>
    </row>
    <row r="734" hidden="1">
      <c r="A734" t="n">
        <v>347</v>
      </c>
      <c r="B734" t="inlineStr">
        <is>
          <t>civil-nx/gen-nx</t>
        </is>
      </c>
      <c r="C734" t="inlineStr">
        <is>
          <t>Moving Load</t>
        </is>
      </c>
      <c r="D734" t="inlineStr">
        <is>
          <t>Advanced</t>
        </is>
      </c>
      <c r="E734" t="inlineStr">
        <is>
          <t>Lane Support</t>
        </is>
      </c>
      <c r="F734" t="inlineStr">
        <is>
          <t>Lane Support Reaction</t>
        </is>
      </c>
      <c r="H734" t="inlineStr">
        <is>
          <t>db</t>
        </is>
      </c>
      <c r="I734" t="inlineStr">
        <is>
          <t>mlsr</t>
        </is>
      </c>
      <c r="K734">
        <f>_xlfn.TEXTAFTER(L349,"/",-1)</f>
        <v/>
      </c>
      <c r="L734" t="inlineStr">
        <is>
          <t>/db/mlsr</t>
        </is>
      </c>
      <c r="M734" t="inlineStr">
        <is>
          <t>Lane Support - Reactions at Interior Piers</t>
        </is>
      </c>
      <c r="N734" t="inlineStr">
        <is>
          <t>done</t>
        </is>
      </c>
      <c r="O734" t="inlineStr">
        <is>
          <t>done</t>
        </is>
      </c>
      <c r="P734" t="inlineStr">
        <is>
          <t>done</t>
        </is>
      </c>
      <c r="Q734" t="inlineStr">
        <is>
          <t>done</t>
        </is>
      </c>
      <c r="R734" t="inlineStr">
        <is>
          <t>done</t>
        </is>
      </c>
      <c r="S734" t="inlineStr">
        <is>
          <t>done</t>
        </is>
      </c>
      <c r="T734" t="inlineStr">
        <is>
          <t>Done</t>
        </is>
      </c>
      <c r="Z734">
        <f>IF(OR(K349="",K349="TABLE"),"",
_xlfn.TEXTJOIN(", ",TRUE,
IF(E349&lt;&gt;"",E349&amp;K349,""),
IF(F349&lt;&gt;"",F349&amp;K349,""),
IF(G349&lt;&gt;"",G349&amp;K349,"")
))</f>
        <v/>
      </c>
      <c r="AA734">
        <f>IF(K349="","",IF(K349="TABLE","",K349))</f>
        <v/>
      </c>
      <c r="AB734">
        <f>IF(ISNUMBER(SEARCH("기존변경필요",SUBSTITUTE(TRIM(V349),CHAR(10)," "))),"",
IFERROR(
  _xlfn.XLOOKUP(AA349,'기존 end point'!B:B,'기존 end point'!B:B,,0),
""))</f>
        <v/>
      </c>
    </row>
    <row r="735" hidden="1">
      <c r="A735" s="26" t="n"/>
      <c r="B735" s="26" t="n"/>
      <c r="C735" s="26" t="inlineStr">
        <is>
          <t>DB_Moving Loads</t>
        </is>
      </c>
      <c r="D735" s="26" t="inlineStr">
        <is>
          <t>DB_Moving Loads</t>
        </is>
      </c>
      <c r="E735" s="26" t="inlineStr">
        <is>
          <t>Dynamic Load Allowance</t>
        </is>
      </c>
      <c r="F735" s="26" t="n"/>
      <c r="G735" s="26" t="n"/>
      <c r="H735" s="26" t="inlineStr">
        <is>
          <t>DB</t>
        </is>
      </c>
      <c r="I735" s="26" t="inlineStr">
        <is>
          <t>DYLA</t>
        </is>
      </c>
      <c r="J735" s="26" t="n"/>
      <c r="K735" s="26" t="n"/>
      <c r="L735" s="26" t="inlineStr">
        <is>
          <t>/DB/DYLA</t>
        </is>
      </c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inlineStr">
        <is>
          <t>DELETE, GET, POST, PUT</t>
        </is>
      </c>
      <c r="W735" s="26" t="n"/>
      <c r="X735" s="26" t="n"/>
    </row>
    <row r="736" hidden="1">
      <c r="A736" s="26" t="n"/>
      <c r="B736" s="26" t="n"/>
      <c r="C736" s="26" t="inlineStr">
        <is>
          <t>DB_Moving Loads</t>
        </is>
      </c>
      <c r="D736" s="26" t="inlineStr">
        <is>
          <t>DB_Moving Loads</t>
        </is>
      </c>
      <c r="E736" s="26" t="inlineStr">
        <is>
          <t>Additional Impact Factor</t>
        </is>
      </c>
      <c r="F736" s="26" t="n"/>
      <c r="G736" s="26" t="n"/>
      <c r="H736" s="26" t="inlineStr">
        <is>
          <t>DB</t>
        </is>
      </c>
      <c r="I736" s="26" t="inlineStr">
        <is>
          <t>IMPF</t>
        </is>
      </c>
      <c r="J736" s="26" t="n"/>
      <c r="K736" s="26" t="n"/>
      <c r="L736" s="26" t="inlineStr">
        <is>
          <t>/DB/IMPF</t>
        </is>
      </c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inlineStr">
        <is>
          <t>DELETE, GET, POST, PUT</t>
        </is>
      </c>
      <c r="W736" s="26" t="n"/>
      <c r="X736" s="26" t="n"/>
    </row>
    <row r="737">
      <c r="A737" s="26" t="n"/>
      <c r="B737" s="26" t="n"/>
      <c r="C737" s="26" t="inlineStr">
        <is>
          <t>DB_Moving Loads</t>
        </is>
      </c>
      <c r="D737" s="26" t="inlineStr">
        <is>
          <t>DB_Moving Loads</t>
        </is>
      </c>
      <c r="E737" s="26" t="inlineStr">
        <is>
          <t>Railway Dynamic Factor</t>
        </is>
      </c>
      <c r="F737" s="26" t="n"/>
      <c r="G737" s="26" t="n"/>
      <c r="H737" s="26" t="inlineStr">
        <is>
          <t>DB</t>
        </is>
      </c>
      <c r="I737" s="26" t="inlineStr">
        <is>
          <t>DYFG</t>
        </is>
      </c>
      <c r="J737" s="26" t="n"/>
      <c r="K737" s="26" t="n"/>
      <c r="L737" s="26" t="inlineStr">
        <is>
          <t>/DB/DYFG</t>
        </is>
      </c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inlineStr">
        <is>
          <t>DELETE, GET, POST, PUT</t>
        </is>
      </c>
      <c r="W737" s="26" t="n"/>
      <c r="X737" s="26" t="n"/>
    </row>
    <row r="738">
      <c r="A738" s="26" t="n"/>
      <c r="B738" s="26" t="n"/>
      <c r="C738" s="26" t="inlineStr">
        <is>
          <t>DB_Moving Loads</t>
        </is>
      </c>
      <c r="D738" s="26" t="inlineStr">
        <is>
          <t>DB_Moving Loads</t>
        </is>
      </c>
      <c r="E738" s="26" t="inlineStr">
        <is>
          <t>Railway Dynamic Factor by Element</t>
        </is>
      </c>
      <c r="F738" s="26" t="n"/>
      <c r="G738" s="26" t="n"/>
      <c r="H738" s="26" t="inlineStr">
        <is>
          <t>DB</t>
        </is>
      </c>
      <c r="I738" s="26" t="inlineStr">
        <is>
          <t>DYNF</t>
        </is>
      </c>
      <c r="J738" s="26" t="n"/>
      <c r="K738" s="26" t="n"/>
      <c r="L738" s="26" t="inlineStr">
        <is>
          <t>/DB/DYNF</t>
        </is>
      </c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inlineStr">
        <is>
          <t>DELETE, GET, POST, PUT</t>
        </is>
      </c>
      <c r="W738" s="26" t="n"/>
      <c r="X738" s="26" t="n"/>
    </row>
    <row r="739">
      <c r="A739" t="n">
        <v>348</v>
      </c>
      <c r="B739" t="inlineStr">
        <is>
          <t>civil-nx/gen-nx</t>
        </is>
      </c>
      <c r="C739" t="inlineStr">
        <is>
          <t>Dynamic Loads</t>
        </is>
      </c>
      <c r="D739" t="inlineStr">
        <is>
          <t>Response Spectrum Data</t>
        </is>
      </c>
      <c r="E739" t="inlineStr">
        <is>
          <t>RS Functions</t>
        </is>
      </c>
      <c r="H739" t="inlineStr">
        <is>
          <t>db</t>
        </is>
      </c>
      <c r="I739" t="inlineStr">
        <is>
          <t>spfc</t>
        </is>
      </c>
      <c r="K739">
        <f>_xlfn.TEXTAFTER(L350,"/",-1)</f>
        <v/>
      </c>
      <c r="L739" t="inlineStr">
        <is>
          <t>/db/spfc</t>
        </is>
      </c>
      <c r="M739" t="inlineStr">
        <is>
          <t>Response Spectrum Functions</t>
        </is>
      </c>
      <c r="N739" t="inlineStr">
        <is>
          <t>done</t>
        </is>
      </c>
      <c r="O739" t="inlineStr">
        <is>
          <t>done</t>
        </is>
      </c>
      <c r="P739" t="inlineStr">
        <is>
          <t>done</t>
        </is>
      </c>
      <c r="Q739" t="inlineStr">
        <is>
          <t>done</t>
        </is>
      </c>
      <c r="R739" t="inlineStr">
        <is>
          <t>done</t>
        </is>
      </c>
      <c r="S739" t="inlineStr">
        <is>
          <t>done</t>
        </is>
      </c>
      <c r="T739" t="inlineStr">
        <is>
          <t>Done</t>
        </is>
      </c>
      <c r="Z739">
        <f>IF(OR(K350="",K350="TABLE"),"",
_xlfn.TEXTJOIN(", ",TRUE,
IF(E350&lt;&gt;"",E350&amp;K350,""),
IF(F350&lt;&gt;"",F350&amp;K350,""),
IF(G350&lt;&gt;"",G350&amp;K350,"")
))</f>
        <v/>
      </c>
      <c r="AA739">
        <f>IF(K350="","",IF(K350="TABLE","",K350))</f>
        <v/>
      </c>
      <c r="AB739">
        <f>IF(ISNUMBER(SEARCH("기존변경필요",SUBSTITUTE(TRIM(V350),CHAR(10)," "))),"",
IFERROR(
  _xlfn.XLOOKUP(AA350,'기존 end point'!B:B,'기존 end point'!B:B,,0),
""))</f>
        <v/>
      </c>
    </row>
    <row r="740">
      <c r="A740" t="n">
        <v>349</v>
      </c>
      <c r="B740" t="inlineStr">
        <is>
          <t>civil-nx/gen-nx</t>
        </is>
      </c>
      <c r="C740" t="inlineStr">
        <is>
          <t>Dynamic Loads</t>
        </is>
      </c>
      <c r="D740" t="inlineStr">
        <is>
          <t>Response Spectrum Data</t>
        </is>
      </c>
      <c r="E740" t="inlineStr">
        <is>
          <t>RS Load Cases</t>
        </is>
      </c>
      <c r="H740" t="inlineStr">
        <is>
          <t>db</t>
        </is>
      </c>
      <c r="I740" t="inlineStr">
        <is>
          <t>splc</t>
        </is>
      </c>
      <c r="K740">
        <f>_xlfn.TEXTAFTER(L351,"/",-1)</f>
        <v/>
      </c>
      <c r="L740" t="inlineStr">
        <is>
          <t>/db/splc</t>
        </is>
      </c>
      <c r="M740" t="inlineStr">
        <is>
          <t>Response Spectrum Load Cases</t>
        </is>
      </c>
      <c r="N740" t="inlineStr">
        <is>
          <t>done</t>
        </is>
      </c>
      <c r="O740" t="inlineStr">
        <is>
          <t>done</t>
        </is>
      </c>
      <c r="P740" t="inlineStr">
        <is>
          <t>done</t>
        </is>
      </c>
      <c r="Q740" t="inlineStr">
        <is>
          <t>done</t>
        </is>
      </c>
      <c r="R740" t="inlineStr">
        <is>
          <t>done</t>
        </is>
      </c>
      <c r="S740" t="inlineStr">
        <is>
          <t>done</t>
        </is>
      </c>
      <c r="T740" t="inlineStr">
        <is>
          <t>Done</t>
        </is>
      </c>
      <c r="Z740">
        <f>IF(OR(K351="",K351="TABLE"),"",
_xlfn.TEXTJOIN(", ",TRUE,
IF(E351&lt;&gt;"",E351&amp;K351,""),
IF(F351&lt;&gt;"",F351&amp;K351,""),
IF(G351&lt;&gt;"",G351&amp;K351,"")
))</f>
        <v/>
      </c>
      <c r="AA740">
        <f>IF(K351="","",IF(K351="TABLE","",K351))</f>
        <v/>
      </c>
      <c r="AB740">
        <f>IF(ISNUMBER(SEARCH("기존변경필요",SUBSTITUTE(TRIM(V351),CHAR(10)," "))),"",
IFERROR(
  _xlfn.XLOOKUP(AA351,'기존 end point'!B:B,'기존 end point'!B:B,,0),
""))</f>
        <v/>
      </c>
    </row>
    <row r="741">
      <c r="A741" t="n">
        <v>350</v>
      </c>
      <c r="B741" t="inlineStr">
        <is>
          <t>civil-nx/gen-nx</t>
        </is>
      </c>
      <c r="C741" t="inlineStr">
        <is>
          <t>Dynamic Loads</t>
        </is>
      </c>
      <c r="D741" t="inlineStr">
        <is>
          <t>Time History Analysis Data</t>
        </is>
      </c>
      <c r="E741" t="inlineStr">
        <is>
          <t>Global Control</t>
        </is>
      </c>
      <c r="F741" t="inlineStr">
        <is>
          <t>Global Control</t>
        </is>
      </c>
      <c r="H741" t="inlineStr">
        <is>
          <t>db</t>
        </is>
      </c>
      <c r="I741" t="inlineStr">
        <is>
          <t>thgc</t>
        </is>
      </c>
      <c r="K741">
        <f>_xlfn.TEXTAFTER(L352,"/",-1)</f>
        <v/>
      </c>
      <c r="L741" t="inlineStr">
        <is>
          <t>/db/thgc</t>
        </is>
      </c>
      <c r="M741" t="inlineStr">
        <is>
          <t>Time History Global Control</t>
        </is>
      </c>
      <c r="N741" t="inlineStr">
        <is>
          <t>done</t>
        </is>
      </c>
      <c r="O741" t="inlineStr">
        <is>
          <t>done</t>
        </is>
      </c>
      <c r="P741" t="inlineStr">
        <is>
          <t>done</t>
        </is>
      </c>
      <c r="Q741" t="inlineStr">
        <is>
          <t>done</t>
        </is>
      </c>
      <c r="R741" t="inlineStr">
        <is>
          <t>done</t>
        </is>
      </c>
      <c r="S741" t="inlineStr">
        <is>
          <t>done</t>
        </is>
      </c>
      <c r="T741" t="inlineStr">
        <is>
          <t>Done</t>
        </is>
      </c>
      <c r="Z741">
        <f>IF(OR(K352="",K352="TABLE"),"",
_xlfn.TEXTJOIN(", ",TRUE,
IF(E352&lt;&gt;"",E352&amp;K352,""),
IF(F352&lt;&gt;"",F352&amp;K352,""),
IF(G352&lt;&gt;"",G352&amp;K352,"")
))</f>
        <v/>
      </c>
      <c r="AA741">
        <f>IF(K352="","",IF(K352="TABLE","",K352))</f>
        <v/>
      </c>
      <c r="AB741">
        <f>IF(ISNUMBER(SEARCH("기존변경필요",SUBSTITUTE(TRIM(V352),CHAR(10)," "))),"",
IFERROR(
  _xlfn.XLOOKUP(AA352,'기존 end point'!B:B,'기존 end point'!B:B,,0),
""))</f>
        <v/>
      </c>
    </row>
    <row r="742">
      <c r="A742" t="n">
        <v>351</v>
      </c>
      <c r="B742" t="inlineStr">
        <is>
          <t>civil-nx/gen-nx</t>
        </is>
      </c>
      <c r="C742" t="inlineStr">
        <is>
          <t>Dynamic Loads</t>
        </is>
      </c>
      <c r="D742" t="inlineStr">
        <is>
          <t>Time History Analysis Data</t>
        </is>
      </c>
      <c r="E742" t="inlineStr">
        <is>
          <t>Global Control</t>
        </is>
      </c>
      <c r="F742" t="inlineStr">
        <is>
          <t>Ignore Elements for NL. Analysis Initial Load</t>
        </is>
      </c>
      <c r="T742" t="inlineStr">
        <is>
          <t>none</t>
        </is>
      </c>
      <c r="Z742">
        <f>IF(OR(K353="",K353="TABLE"),"",
_xlfn.TEXTJOIN(", ",TRUE,
IF(E353&lt;&gt;"",E353&amp;K353,""),
IF(F353&lt;&gt;"",F353&amp;K353,""),
IF(G353&lt;&gt;"",G353&amp;K353,"")
))</f>
        <v/>
      </c>
      <c r="AA742">
        <f>IF(K353="","",IF(K353="TABLE","",K353))</f>
        <v/>
      </c>
      <c r="AB742">
        <f>IF(ISNUMBER(SEARCH("기존변경필요",SUBSTITUTE(TRIM(V353),CHAR(10)," "))),"",
IFERROR(
  _xlfn.XLOOKUP(AA353,'기존 end point'!B:B,'기존 end point'!B:B,,0),
""))</f>
        <v/>
      </c>
    </row>
    <row r="743">
      <c r="A743" t="n">
        <v>352</v>
      </c>
      <c r="B743" t="inlineStr">
        <is>
          <t>civil-nx/gen-nx</t>
        </is>
      </c>
      <c r="C743" t="inlineStr">
        <is>
          <t>Dynamic Loads</t>
        </is>
      </c>
      <c r="D743" t="inlineStr">
        <is>
          <t>Time History Analysis Data</t>
        </is>
      </c>
      <c r="E743" t="inlineStr">
        <is>
          <t>Load Cases</t>
        </is>
      </c>
      <c r="H743" t="inlineStr">
        <is>
          <t>db</t>
        </is>
      </c>
      <c r="I743" t="inlineStr">
        <is>
          <t>this</t>
        </is>
      </c>
      <c r="K743">
        <f>_xlfn.TEXTAFTER(L354,"/",-1)</f>
        <v/>
      </c>
      <c r="L743" t="inlineStr">
        <is>
          <t>/db/this</t>
        </is>
      </c>
      <c r="M743" t="inlineStr">
        <is>
          <t>Time History Load Cases</t>
        </is>
      </c>
      <c r="N743" t="inlineStr">
        <is>
          <t>done</t>
        </is>
      </c>
      <c r="O743" t="inlineStr">
        <is>
          <t>done</t>
        </is>
      </c>
      <c r="P743" t="inlineStr">
        <is>
          <t>done</t>
        </is>
      </c>
      <c r="Q743" t="inlineStr">
        <is>
          <t>done</t>
        </is>
      </c>
      <c r="R743" t="inlineStr">
        <is>
          <t>done</t>
        </is>
      </c>
      <c r="S743" t="inlineStr">
        <is>
          <t>done</t>
        </is>
      </c>
      <c r="T743" t="inlineStr">
        <is>
          <t>Done</t>
        </is>
      </c>
      <c r="Z743">
        <f>IF(OR(K354="",K354="TABLE"),"",
_xlfn.TEXTJOIN(", ",TRUE,
IF(E354&lt;&gt;"",E354&amp;K354,""),
IF(F354&lt;&gt;"",F354&amp;K354,""),
IF(G354&lt;&gt;"",G354&amp;K354,"")
))</f>
        <v/>
      </c>
      <c r="AA743">
        <f>IF(K354="","",IF(K354="TABLE","",K354))</f>
        <v/>
      </c>
      <c r="AB743">
        <f>IF(ISNUMBER(SEARCH("기존변경필요",SUBSTITUTE(TRIM(V354),CHAR(10)," "))),"",
IFERROR(
  _xlfn.XLOOKUP(AA354,'기존 end point'!B:B,'기존 end point'!B:B,,0),
""))</f>
        <v/>
      </c>
    </row>
    <row r="744">
      <c r="A744" t="n">
        <v>353</v>
      </c>
      <c r="B744" t="inlineStr">
        <is>
          <t>civil-nx/gen-nx</t>
        </is>
      </c>
      <c r="C744" t="inlineStr">
        <is>
          <t>Dynamic Loads</t>
        </is>
      </c>
      <c r="D744" t="inlineStr">
        <is>
          <t>Time History Analysis Data</t>
        </is>
      </c>
      <c r="E744" t="inlineStr">
        <is>
          <t>Time History Functions</t>
        </is>
      </c>
      <c r="H744" t="inlineStr">
        <is>
          <t>db</t>
        </is>
      </c>
      <c r="I744" t="inlineStr">
        <is>
          <t>thfc</t>
        </is>
      </c>
      <c r="K744">
        <f>_xlfn.TEXTAFTER(L355,"/",-1)</f>
        <v/>
      </c>
      <c r="L744" t="inlineStr">
        <is>
          <t>/db/thfc</t>
        </is>
      </c>
      <c r="M744" t="inlineStr">
        <is>
          <t>Time History Functions</t>
        </is>
      </c>
      <c r="N744" t="inlineStr">
        <is>
          <t>done</t>
        </is>
      </c>
      <c r="O744" t="inlineStr">
        <is>
          <t>done</t>
        </is>
      </c>
      <c r="P744" t="inlineStr">
        <is>
          <t>done</t>
        </is>
      </c>
      <c r="Q744" t="inlineStr">
        <is>
          <t>done</t>
        </is>
      </c>
      <c r="R744" t="inlineStr">
        <is>
          <t>done</t>
        </is>
      </c>
      <c r="S744" t="inlineStr">
        <is>
          <t>done</t>
        </is>
      </c>
      <c r="T744" t="inlineStr">
        <is>
          <t>Done</t>
        </is>
      </c>
      <c r="Z744">
        <f>IF(OR(K355="",K355="TABLE"),"",
_xlfn.TEXTJOIN(", ",TRUE,
IF(E355&lt;&gt;"",E355&amp;K355,""),
IF(F355&lt;&gt;"",F355&amp;K355,""),
IF(G355&lt;&gt;"",G355&amp;K355,"")
))</f>
        <v/>
      </c>
      <c r="AA744">
        <f>IF(K355="","",IF(K355="TABLE","",K355))</f>
        <v/>
      </c>
      <c r="AB744">
        <f>IF(ISNUMBER(SEARCH("기존변경필요",SUBSTITUTE(TRIM(V355),CHAR(10)," "))),"",
IFERROR(
  _xlfn.XLOOKUP(AA355,'기존 end point'!B:B,'기존 end point'!B:B,,0),
""))</f>
        <v/>
      </c>
    </row>
    <row r="745">
      <c r="A745" t="n">
        <v>354</v>
      </c>
      <c r="B745" t="inlineStr">
        <is>
          <t>civil-nx/gen-nx</t>
        </is>
      </c>
      <c r="C745" t="inlineStr">
        <is>
          <t>Dynamic Loads</t>
        </is>
      </c>
      <c r="D745" t="inlineStr">
        <is>
          <t>Time History Analysis Data</t>
        </is>
      </c>
      <c r="E745" t="inlineStr">
        <is>
          <t>Ground Acceleration</t>
        </is>
      </c>
      <c r="H745" t="inlineStr">
        <is>
          <t>db</t>
        </is>
      </c>
      <c r="I745" t="inlineStr">
        <is>
          <t>thga</t>
        </is>
      </c>
      <c r="K745">
        <f>_xlfn.TEXTAFTER(L356,"/",-1)</f>
        <v/>
      </c>
      <c r="L745" t="inlineStr">
        <is>
          <t>/db/thga</t>
        </is>
      </c>
      <c r="M745" t="inlineStr">
        <is>
          <t>Ground Acceleration</t>
        </is>
      </c>
      <c r="N745" t="inlineStr">
        <is>
          <t>done</t>
        </is>
      </c>
      <c r="O745" t="inlineStr">
        <is>
          <t>done</t>
        </is>
      </c>
      <c r="P745" t="inlineStr">
        <is>
          <t>done</t>
        </is>
      </c>
      <c r="Q745" t="inlineStr">
        <is>
          <t>done</t>
        </is>
      </c>
      <c r="R745" t="inlineStr">
        <is>
          <t>done</t>
        </is>
      </c>
      <c r="S745" t="inlineStr">
        <is>
          <t>done</t>
        </is>
      </c>
      <c r="T745" t="inlineStr">
        <is>
          <t>Done</t>
        </is>
      </c>
      <c r="Z745">
        <f>IF(OR(K356="",K356="TABLE"),"",
_xlfn.TEXTJOIN(", ",TRUE,
IF(E356&lt;&gt;"",E356&amp;K356,""),
IF(F356&lt;&gt;"",F356&amp;K356,""),
IF(G356&lt;&gt;"",G356&amp;K356,"")
))</f>
        <v/>
      </c>
      <c r="AA745">
        <f>IF(K356="","",IF(K356="TABLE","",K356))</f>
        <v/>
      </c>
      <c r="AB745">
        <f>IF(ISNUMBER(SEARCH("기존변경필요",SUBSTITUTE(TRIM(V356),CHAR(10)," "))),"",
IFERROR(
  _xlfn.XLOOKUP(AA356,'기존 end point'!B:B,'기존 end point'!B:B,,0),
""))</f>
        <v/>
      </c>
    </row>
    <row r="746">
      <c r="A746" t="n">
        <v>355</v>
      </c>
      <c r="B746" t="inlineStr">
        <is>
          <t>civil-nx/gen-nx</t>
        </is>
      </c>
      <c r="C746" t="inlineStr">
        <is>
          <t>Dynamic Loads</t>
        </is>
      </c>
      <c r="D746" t="inlineStr">
        <is>
          <t>Time History Analysis Data</t>
        </is>
      </c>
      <c r="E746" t="inlineStr">
        <is>
          <t>Dynamic Nodal Loads</t>
        </is>
      </c>
      <c r="H746" t="inlineStr">
        <is>
          <t>db</t>
        </is>
      </c>
      <c r="I746" t="inlineStr">
        <is>
          <t>thnl</t>
        </is>
      </c>
      <c r="K746">
        <f>_xlfn.TEXTAFTER(L357,"/",-1)</f>
        <v/>
      </c>
      <c r="L746" t="inlineStr">
        <is>
          <t>/db/thnl</t>
        </is>
      </c>
      <c r="M746" t="inlineStr">
        <is>
          <t>Dynamic Nodal Loads</t>
        </is>
      </c>
      <c r="N746" t="inlineStr">
        <is>
          <t>done</t>
        </is>
      </c>
      <c r="O746" t="inlineStr">
        <is>
          <t>done</t>
        </is>
      </c>
      <c r="P746" t="inlineStr">
        <is>
          <t>done</t>
        </is>
      </c>
      <c r="Q746" t="inlineStr">
        <is>
          <t>done</t>
        </is>
      </c>
      <c r="R746" t="inlineStr">
        <is>
          <t>done</t>
        </is>
      </c>
      <c r="S746" t="inlineStr">
        <is>
          <t>done</t>
        </is>
      </c>
      <c r="T746" t="inlineStr">
        <is>
          <t>Done</t>
        </is>
      </c>
      <c r="Z746">
        <f>IF(OR(K357="",K357="TABLE"),"",
_xlfn.TEXTJOIN(", ",TRUE,
IF(E357&lt;&gt;"",E357&amp;K357,""),
IF(F357&lt;&gt;"",F357&amp;K357,""),
IF(G357&lt;&gt;"",G357&amp;K357,"")
))</f>
        <v/>
      </c>
      <c r="AA746">
        <f>IF(K357="","",IF(K357="TABLE","",K357))</f>
        <v/>
      </c>
      <c r="AB746">
        <f>IF(ISNUMBER(SEARCH("기존변경필요",SUBSTITUTE(TRIM(V357),CHAR(10)," "))),"",
IFERROR(
  _xlfn.XLOOKUP(AA357,'기존 end point'!B:B,'기존 end point'!B:B,,0),
""))</f>
        <v/>
      </c>
    </row>
    <row r="747">
      <c r="A747" t="n">
        <v>356</v>
      </c>
      <c r="B747" t="inlineStr">
        <is>
          <t>civil-nx/gen-nx</t>
        </is>
      </c>
      <c r="C747" t="inlineStr">
        <is>
          <t>Dynamic Loads</t>
        </is>
      </c>
      <c r="D747" t="inlineStr">
        <is>
          <t>Time History Analysis Data</t>
        </is>
      </c>
      <c r="E747" t="inlineStr">
        <is>
          <t>Time Varying Static Loads</t>
        </is>
      </c>
      <c r="H747" t="inlineStr">
        <is>
          <t>db</t>
        </is>
      </c>
      <c r="I747" t="inlineStr">
        <is>
          <t>thsl</t>
        </is>
      </c>
      <c r="K747">
        <f>_xlfn.TEXTAFTER(L358,"/",-1)</f>
        <v/>
      </c>
      <c r="L747" t="inlineStr">
        <is>
          <t>/db/thsl</t>
        </is>
      </c>
      <c r="M747" t="inlineStr">
        <is>
          <t>Time Varying Static Loads</t>
        </is>
      </c>
      <c r="N747" t="inlineStr">
        <is>
          <t>done</t>
        </is>
      </c>
      <c r="O747" t="inlineStr">
        <is>
          <t>done</t>
        </is>
      </c>
      <c r="P747" t="inlineStr">
        <is>
          <t>done</t>
        </is>
      </c>
      <c r="Q747" t="inlineStr">
        <is>
          <t>done</t>
        </is>
      </c>
      <c r="R747" t="inlineStr">
        <is>
          <t>done</t>
        </is>
      </c>
      <c r="S747" t="inlineStr">
        <is>
          <t>done</t>
        </is>
      </c>
      <c r="T747" t="inlineStr">
        <is>
          <t>Done</t>
        </is>
      </c>
      <c r="Z747">
        <f>IF(OR(K358="",K358="TABLE"),"",
_xlfn.TEXTJOIN(", ",TRUE,
IF(E358&lt;&gt;"",E358&amp;K358,""),
IF(F358&lt;&gt;"",F358&amp;K358,""),
IF(G358&lt;&gt;"",G358&amp;K358,"")
))</f>
        <v/>
      </c>
      <c r="AA747">
        <f>IF(K358="","",IF(K358="TABLE","",K358))</f>
        <v/>
      </c>
      <c r="AB747">
        <f>IF(ISNUMBER(SEARCH("기존변경필요",SUBSTITUTE(TRIM(V358),CHAR(10)," "))),"",
IFERROR(
  _xlfn.XLOOKUP(AA358,'기존 end point'!B:B,'기존 end point'!B:B,,0),
""))</f>
        <v/>
      </c>
    </row>
    <row r="748">
      <c r="A748" t="n">
        <v>357</v>
      </c>
      <c r="B748" t="inlineStr">
        <is>
          <t>civil-nx/gen-nx</t>
        </is>
      </c>
      <c r="C748" t="inlineStr">
        <is>
          <t>Dynamic Loads</t>
        </is>
      </c>
      <c r="D748" t="inlineStr">
        <is>
          <t>Time History Analysis Data</t>
        </is>
      </c>
      <c r="E748" t="inlineStr">
        <is>
          <t>Multiple Support Excitation</t>
        </is>
      </c>
      <c r="T748" t="inlineStr">
        <is>
          <t>none</t>
        </is>
      </c>
      <c r="Z748">
        <f>IF(OR(K359="",K359="TABLE"),"",
_xlfn.TEXTJOIN(", ",TRUE,
IF(E359&lt;&gt;"",E359&amp;K359,""),
IF(F359&lt;&gt;"",F359&amp;K359,""),
IF(G359&lt;&gt;"",G359&amp;K359,"")
))</f>
        <v/>
      </c>
      <c r="AA748">
        <f>IF(K359="","",IF(K359="TABLE","",K359))</f>
        <v/>
      </c>
      <c r="AB748">
        <f>IF(ISNUMBER(SEARCH("기존변경필요",SUBSTITUTE(TRIM(V359),CHAR(10)," "))),"",
IFERROR(
  _xlfn.XLOOKUP(AA359,'기존 end point'!B:B,'기존 end point'!B:B,,0),
""))</f>
        <v/>
      </c>
    </row>
    <row r="749" hidden="1">
      <c r="A749" t="n">
        <v>358</v>
      </c>
      <c r="B749" t="inlineStr">
        <is>
          <t>civil-nx/gen-nx</t>
        </is>
      </c>
      <c r="C749" t="inlineStr">
        <is>
          <t>Dynamic Loads</t>
        </is>
      </c>
      <c r="D749" t="inlineStr">
        <is>
          <t>Time History Analysis Data</t>
        </is>
      </c>
      <c r="E749" t="inlineStr">
        <is>
          <t>Define Result Functions</t>
        </is>
      </c>
      <c r="T749" t="inlineStr">
        <is>
          <t>none</t>
        </is>
      </c>
      <c r="Z749">
        <f>IF(OR(K360="",K360="TABLE"),"",
_xlfn.TEXTJOIN(", ",TRUE,
IF(E360&lt;&gt;"",E360&amp;K360,""),
IF(F360&lt;&gt;"",F360&amp;K360,""),
IF(G360&lt;&gt;"",G360&amp;K360,"")
))</f>
        <v/>
      </c>
      <c r="AA749">
        <f>IF(K360="","",IF(K360="TABLE","",K360))</f>
        <v/>
      </c>
      <c r="AB749">
        <f>IF(ISNUMBER(SEARCH("기존변경필요",SUBSTITUTE(TRIM(V360),CHAR(10)," "))),"",
IFERROR(
  _xlfn.XLOOKUP(AA360,'기존 end point'!B:B,'기존 end point'!B:B,,0),
""))</f>
        <v/>
      </c>
    </row>
    <row r="750">
      <c r="A750" t="n">
        <v>359</v>
      </c>
      <c r="B750" t="inlineStr">
        <is>
          <t>gen-nx</t>
        </is>
      </c>
      <c r="C750" t="inlineStr">
        <is>
          <t>Dynamic Loads</t>
        </is>
      </c>
      <c r="D750" t="inlineStr">
        <is>
          <t>Time History Analysis Data</t>
        </is>
      </c>
      <c r="E750" t="inlineStr">
        <is>
          <t>Define Animation Time</t>
        </is>
      </c>
      <c r="T750" t="inlineStr">
        <is>
          <t>none</t>
        </is>
      </c>
      <c r="Z750">
        <f>IF(OR(K361="",K361="TABLE"),"",
_xlfn.TEXTJOIN(", ",TRUE,
IF(E361&lt;&gt;"",E361&amp;K361,""),
IF(F361&lt;&gt;"",F361&amp;K361,""),
IF(G361&lt;&gt;"",G361&amp;K361,"")
))</f>
        <v/>
      </c>
      <c r="AA750">
        <f>IF(K361="","",IF(K361="TABLE","",K361))</f>
        <v/>
      </c>
      <c r="AB750">
        <f>IF(ISNUMBER(SEARCH("기존변경필요",SUBSTITUTE(TRIM(V361),CHAR(10)," "))),"",
IFERROR(
  _xlfn.XLOOKUP(AA361,'기존 end point'!B:B,'기존 end point'!B:B,,0),
""))</f>
        <v/>
      </c>
    </row>
    <row r="751">
      <c r="A751" t="n">
        <v>360</v>
      </c>
      <c r="B751" t="inlineStr">
        <is>
          <t>civil-nx/gen-nx</t>
        </is>
      </c>
      <c r="C751" t="inlineStr">
        <is>
          <t>Dynamic Loads</t>
        </is>
      </c>
      <c r="D751" t="inlineStr">
        <is>
          <t>Load Tables</t>
        </is>
      </c>
      <c r="E751" t="inlineStr">
        <is>
          <t>Time History Analysis</t>
        </is>
      </c>
      <c r="F751" t="inlineStr">
        <is>
          <t>Dynamic Nodal loads</t>
        </is>
      </c>
      <c r="T751" t="inlineStr">
        <is>
          <t>none</t>
        </is>
      </c>
      <c r="Z751">
        <f>IF(OR(K362="",K362="TABLE"),"",
_xlfn.TEXTJOIN(", ",TRUE,
IF(E362&lt;&gt;"",E362&amp;K362,""),
IF(F362&lt;&gt;"",F362&amp;K362,""),
IF(G362&lt;&gt;"",G362&amp;K362,"")
))</f>
        <v/>
      </c>
      <c r="AA751">
        <f>IF(K362="","",IF(K362="TABLE","",K362))</f>
        <v/>
      </c>
      <c r="AB751">
        <f>IF(ISNUMBER(SEARCH("기존변경필요",SUBSTITUTE(TRIM(V362),CHAR(10)," "))),"",
IFERROR(
  _xlfn.XLOOKUP(AA362,'기존 end point'!B:B,'기존 end point'!B:B,,0),
""))</f>
        <v/>
      </c>
    </row>
    <row r="752">
      <c r="A752" t="n">
        <v>361</v>
      </c>
      <c r="B752" t="inlineStr">
        <is>
          <t>civil-nx/gen-nx</t>
        </is>
      </c>
      <c r="C752" t="inlineStr">
        <is>
          <t>Dynamic Loads</t>
        </is>
      </c>
      <c r="D752" t="inlineStr">
        <is>
          <t>Load Tables</t>
        </is>
      </c>
      <c r="E752" t="inlineStr">
        <is>
          <t>Time History Analysis</t>
        </is>
      </c>
      <c r="F752" t="inlineStr">
        <is>
          <t>Multiple Support Excitation</t>
        </is>
      </c>
      <c r="H752" t="inlineStr">
        <is>
          <t>db</t>
        </is>
      </c>
      <c r="I752" t="inlineStr">
        <is>
          <t>thms</t>
        </is>
      </c>
      <c r="K752">
        <f>_xlfn.TEXTAFTER(L363,"/",-1)</f>
        <v/>
      </c>
      <c r="L752" t="inlineStr">
        <is>
          <t>/db/thms</t>
        </is>
      </c>
      <c r="M752" t="inlineStr">
        <is>
          <t>Multiple Support Excitation</t>
        </is>
      </c>
      <c r="N752" t="inlineStr">
        <is>
          <t>done</t>
        </is>
      </c>
      <c r="O752" t="inlineStr">
        <is>
          <t>done</t>
        </is>
      </c>
      <c r="P752" t="inlineStr">
        <is>
          <t>done</t>
        </is>
      </c>
      <c r="Q752" t="inlineStr">
        <is>
          <t>done</t>
        </is>
      </c>
      <c r="R752" t="inlineStr">
        <is>
          <t>done</t>
        </is>
      </c>
      <c r="S752" t="inlineStr">
        <is>
          <t>done</t>
        </is>
      </c>
      <c r="T752" t="inlineStr">
        <is>
          <t>Done</t>
        </is>
      </c>
      <c r="Z752">
        <f>IF(OR(K363="",K363="TABLE"),"",
_xlfn.TEXTJOIN(", ",TRUE,
IF(E363&lt;&gt;"",E363&amp;K363,""),
IF(F363&lt;&gt;"",F363&amp;K363,""),
IF(G363&lt;&gt;"",G363&amp;K363,"")
))</f>
        <v/>
      </c>
      <c r="AA752">
        <f>IF(K363="","",IF(K363="TABLE","",K363))</f>
        <v/>
      </c>
      <c r="AB752">
        <f>IF(ISNUMBER(SEARCH("기존변경필요",SUBSTITUTE(TRIM(V363),CHAR(10)," "))),"",
IFERROR(
  _xlfn.XLOOKUP(AA363,'기존 end point'!B:B,'기존 end point'!B:B,,0),
""))</f>
        <v/>
      </c>
    </row>
    <row r="753" hidden="1">
      <c r="A753" t="n">
        <v>362</v>
      </c>
      <c r="B753" t="inlineStr">
        <is>
          <t>gen-nx</t>
        </is>
      </c>
      <c r="C753" t="inlineStr">
        <is>
          <t>Dynamic Loads</t>
        </is>
      </c>
      <c r="D753" t="inlineStr">
        <is>
          <t>Load Tables</t>
        </is>
      </c>
      <c r="E753" t="inlineStr">
        <is>
          <t>Time History Analysis</t>
        </is>
      </c>
      <c r="F753" t="inlineStr">
        <is>
          <t>Ignore Elements for NL. Analysis Initial Load</t>
        </is>
      </c>
      <c r="T753" t="inlineStr">
        <is>
          <t>none</t>
        </is>
      </c>
      <c r="Z753">
        <f>IF(OR(K364="",K364="TABLE"),"",
_xlfn.TEXTJOIN(", ",TRUE,
IF(E364&lt;&gt;"",E364&amp;K364,""),
IF(F364&lt;&gt;"",F364&amp;K364,""),
IF(G364&lt;&gt;"",G364&amp;K364,"")
))</f>
        <v/>
      </c>
      <c r="AA753">
        <f>IF(K364="","",IF(K364="TABLE","",K364))</f>
        <v/>
      </c>
      <c r="AB753">
        <f>IF(ISNUMBER(SEARCH("기존변경필요",SUBSTITUTE(TRIM(V364),CHAR(10)," "))),"",
IFERROR(
  _xlfn.XLOOKUP(AA364,'기존 end point'!B:B,'기존 end point'!B:B,,0),
""))</f>
        <v/>
      </c>
    </row>
    <row r="754">
      <c r="A754" t="n">
        <v>363</v>
      </c>
      <c r="B754" t="inlineStr">
        <is>
          <t>civil-nx/gen-nx</t>
        </is>
      </c>
      <c r="C754" t="inlineStr">
        <is>
          <t>Construction Stage</t>
        </is>
      </c>
      <c r="D754" t="inlineStr">
        <is>
          <t>Construction Stage Data</t>
        </is>
      </c>
      <c r="E754" t="inlineStr">
        <is>
          <t>Construction Stage Wizard</t>
        </is>
      </c>
      <c r="T754" t="inlineStr">
        <is>
          <t>none</t>
        </is>
      </c>
      <c r="Z754">
        <f>IF(OR(K365="",K365="TABLE"),"",
_xlfn.TEXTJOIN(", ",TRUE,
IF(E365&lt;&gt;"",E365&amp;K365,""),
IF(F365&lt;&gt;"",F365&amp;K365,""),
IF(G365&lt;&gt;"",G365&amp;K365,"")
))</f>
        <v/>
      </c>
      <c r="AA754">
        <f>IF(K365="","",IF(K365="TABLE","",K365))</f>
        <v/>
      </c>
      <c r="AB754">
        <f>IF(ISNUMBER(SEARCH("기존변경필요",SUBSTITUTE(TRIM(V365),CHAR(10)," "))),"",
IFERROR(
  _xlfn.XLOOKUP(AA365,'기존 end point'!B:B,'기존 end point'!B:B,,0),
""))</f>
        <v/>
      </c>
    </row>
    <row r="755">
      <c r="A755" t="n">
        <v>364</v>
      </c>
      <c r="B755" t="inlineStr">
        <is>
          <t>civil-nx/gen-nx</t>
        </is>
      </c>
      <c r="C755" t="inlineStr">
        <is>
          <t>Construction Stage</t>
        </is>
      </c>
      <c r="D755" t="inlineStr">
        <is>
          <t>Construction Stage Data</t>
        </is>
      </c>
      <c r="E755" t="inlineStr">
        <is>
          <t>Define C.S</t>
        </is>
      </c>
      <c r="H755" t="inlineStr">
        <is>
          <t>db</t>
        </is>
      </c>
      <c r="I755" t="inlineStr">
        <is>
          <t>stag</t>
        </is>
      </c>
      <c r="K755">
        <f>_xlfn.TEXTAFTER(L366,"/",-1)</f>
        <v/>
      </c>
      <c r="L755" t="inlineStr">
        <is>
          <t>/db/stag</t>
        </is>
      </c>
      <c r="M755" t="inlineStr">
        <is>
          <t>Define Construction Stage</t>
        </is>
      </c>
      <c r="N755" t="inlineStr">
        <is>
          <t>done</t>
        </is>
      </c>
      <c r="O755" t="inlineStr">
        <is>
          <t>done</t>
        </is>
      </c>
      <c r="P755" t="inlineStr">
        <is>
          <t>done</t>
        </is>
      </c>
      <c r="Q755" t="inlineStr">
        <is>
          <t>done</t>
        </is>
      </c>
      <c r="R755" t="inlineStr">
        <is>
          <t>done</t>
        </is>
      </c>
      <c r="S755" t="inlineStr">
        <is>
          <t>done</t>
        </is>
      </c>
      <c r="T755" t="inlineStr">
        <is>
          <t>Done</t>
        </is>
      </c>
      <c r="Z755">
        <f>IF(OR(K366="",K366="TABLE"),"",
_xlfn.TEXTJOIN(", ",TRUE,
IF(E366&lt;&gt;"",E366&amp;K366,""),
IF(F366&lt;&gt;"",F366&amp;K366,""),
IF(G366&lt;&gt;"",G366&amp;K366,"")
))</f>
        <v/>
      </c>
      <c r="AA755">
        <f>IF(K366="","",IF(K366="TABLE","",K366))</f>
        <v/>
      </c>
      <c r="AB755">
        <f>IF(ISNUMBER(SEARCH("기존변경필요",SUBSTITUTE(TRIM(V366),CHAR(10)," "))),"",
IFERROR(
  _xlfn.XLOOKUP(AA366,'기존 end point'!B:B,'기존 end point'!B:B,,0),
""))</f>
        <v/>
      </c>
    </row>
    <row r="756">
      <c r="A756" t="n">
        <v>365</v>
      </c>
      <c r="B756" t="inlineStr">
        <is>
          <t>civil-nx/gen-nx</t>
        </is>
      </c>
      <c r="C756" t="inlineStr">
        <is>
          <t>Construction Stage</t>
        </is>
      </c>
      <c r="D756" t="inlineStr">
        <is>
          <t>Construction Stage Data</t>
        </is>
      </c>
      <c r="E756" t="inlineStr">
        <is>
          <t>Composite Section For C.S</t>
        </is>
      </c>
      <c r="H756" t="inlineStr">
        <is>
          <t>db</t>
        </is>
      </c>
      <c r="I756" t="inlineStr">
        <is>
          <t>cscs</t>
        </is>
      </c>
      <c r="K756">
        <f>_xlfn.TEXTAFTER(L367,"/",-1)</f>
        <v/>
      </c>
      <c r="L756" t="inlineStr">
        <is>
          <t>/db/cscs</t>
        </is>
      </c>
      <c r="M756" t="inlineStr">
        <is>
          <t>Composite Section for Construction Stage</t>
        </is>
      </c>
      <c r="N756" t="inlineStr">
        <is>
          <t>done</t>
        </is>
      </c>
      <c r="O756" t="inlineStr">
        <is>
          <t>done</t>
        </is>
      </c>
      <c r="P756" t="inlineStr">
        <is>
          <t>done</t>
        </is>
      </c>
      <c r="Q756" t="inlineStr">
        <is>
          <t>done</t>
        </is>
      </c>
      <c r="R756" t="inlineStr">
        <is>
          <t>done</t>
        </is>
      </c>
      <c r="S756" t="inlineStr">
        <is>
          <t>done</t>
        </is>
      </c>
      <c r="T756" t="inlineStr">
        <is>
          <t>Done</t>
        </is>
      </c>
      <c r="Z756">
        <f>IF(OR(K367="",K367="TABLE"),"",
_xlfn.TEXTJOIN(", ",TRUE,
IF(E367&lt;&gt;"",E367&amp;K367,""),
IF(F367&lt;&gt;"",F367&amp;K367,""),
IF(G367&lt;&gt;"",G367&amp;K367,"")
))</f>
        <v/>
      </c>
      <c r="AA756">
        <f>IF(K367="","",IF(K367="TABLE","",K367))</f>
        <v/>
      </c>
      <c r="AB756">
        <f>IF(ISNUMBER(SEARCH("기존변경필요",SUBSTITUTE(TRIM(V367),CHAR(10)," "))),"",
IFERROR(
  _xlfn.XLOOKUP(AA367,'기존 end point'!B:B,'기존 end point'!B:B,,0),
""))</f>
        <v/>
      </c>
    </row>
    <row r="757">
      <c r="A757" t="n">
        <v>366</v>
      </c>
      <c r="B757" t="inlineStr">
        <is>
          <t>civil-nx/gen-nx</t>
        </is>
      </c>
      <c r="C757" t="inlineStr">
        <is>
          <t>Construction Stage</t>
        </is>
      </c>
      <c r="D757" t="inlineStr">
        <is>
          <t>Construction Stage Data</t>
        </is>
      </c>
      <c r="E757" t="inlineStr">
        <is>
          <t>C.S Loads</t>
        </is>
      </c>
      <c r="F757" t="inlineStr">
        <is>
          <t>Time Loads for Construction Stage</t>
        </is>
      </c>
      <c r="H757" t="inlineStr">
        <is>
          <t>db</t>
        </is>
      </c>
      <c r="I757" t="inlineStr">
        <is>
          <t>tmld</t>
        </is>
      </c>
      <c r="K757">
        <f>_xlfn.TEXTAFTER(L368,"/",-1)</f>
        <v/>
      </c>
      <c r="L757" t="inlineStr">
        <is>
          <t>/db/tmld</t>
        </is>
      </c>
      <c r="M757" t="inlineStr">
        <is>
          <t>Time Loads for Construction Stage</t>
        </is>
      </c>
      <c r="N757" t="inlineStr">
        <is>
          <t>done</t>
        </is>
      </c>
      <c r="O757" t="inlineStr">
        <is>
          <t>done</t>
        </is>
      </c>
      <c r="P757" t="inlineStr">
        <is>
          <t>done</t>
        </is>
      </c>
      <c r="Q757" t="inlineStr">
        <is>
          <t>done</t>
        </is>
      </c>
      <c r="R757" t="inlineStr">
        <is>
          <t>done</t>
        </is>
      </c>
      <c r="S757" t="inlineStr">
        <is>
          <t>done</t>
        </is>
      </c>
      <c r="T757" t="inlineStr">
        <is>
          <t>Done</t>
        </is>
      </c>
      <c r="Z757">
        <f>IF(OR(K368="",K368="TABLE"),"",
_xlfn.TEXTJOIN(", ",TRUE,
IF(E368&lt;&gt;"",E368&amp;K368,""),
IF(F368&lt;&gt;"",F368&amp;K368,""),
IF(G368&lt;&gt;"",G368&amp;K368,"")
))</f>
        <v/>
      </c>
      <c r="AA757">
        <f>IF(K368="","",IF(K368="TABLE","",K368))</f>
        <v/>
      </c>
      <c r="AB757">
        <f>IF(ISNUMBER(SEARCH("기존변경필요",SUBSTITUTE(TRIM(V368),CHAR(10)," "))),"",
IFERROR(
  _xlfn.XLOOKUP(AA368,'기존 end point'!B:B,'기존 end point'!B:B,,0),
""))</f>
        <v/>
      </c>
    </row>
    <row r="758">
      <c r="A758" s="26" t="n"/>
      <c r="B758" s="26" t="n"/>
      <c r="C758" s="26" t="inlineStr">
        <is>
          <t>DB_Construction Stage Loads</t>
        </is>
      </c>
      <c r="D758" s="26" t="inlineStr">
        <is>
          <t>DB_Construction Stage Loads</t>
        </is>
      </c>
      <c r="E758" s="26" t="inlineStr">
        <is>
          <t>Set-Back Loads for Nonlinear Construction Stage</t>
        </is>
      </c>
      <c r="F758" s="26" t="n"/>
      <c r="G758" s="26" t="n"/>
      <c r="H758" s="26" t="inlineStr">
        <is>
          <t>DB</t>
        </is>
      </c>
      <c r="I758" s="26" t="inlineStr">
        <is>
          <t>STBK</t>
        </is>
      </c>
      <c r="J758" s="26" t="n"/>
      <c r="K758" s="26" t="n"/>
      <c r="L758" s="26" t="inlineStr">
        <is>
          <t>/DB/STBK</t>
        </is>
      </c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inlineStr">
        <is>
          <t>DELETE, GET, POST, PUT</t>
        </is>
      </c>
      <c r="W758" s="26" t="n"/>
      <c r="X758" s="26" t="n"/>
    </row>
    <row r="759">
      <c r="A759" s="26" t="n"/>
      <c r="B759" s="26" t="n"/>
      <c r="C759" s="26" t="inlineStr">
        <is>
          <t>DB_Construction Stage Loads</t>
        </is>
      </c>
      <c r="D759" s="26" t="inlineStr">
        <is>
          <t>DB_Construction Stage Loads</t>
        </is>
      </c>
      <c r="E759" s="26" t="inlineStr">
        <is>
          <t>Camber for Construction Stage</t>
        </is>
      </c>
      <c r="F759" s="26" t="n"/>
      <c r="G759" s="26" t="n"/>
      <c r="H759" s="26" t="inlineStr">
        <is>
          <t>DB</t>
        </is>
      </c>
      <c r="I759" s="26" t="inlineStr">
        <is>
          <t>CMCS</t>
        </is>
      </c>
      <c r="J759" s="26" t="n"/>
      <c r="K759" s="26" t="n"/>
      <c r="L759" s="26" t="inlineStr">
        <is>
          <t>/DB/CMCS</t>
        </is>
      </c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inlineStr">
        <is>
          <t>DELETE, GET, POST, PUT</t>
        </is>
      </c>
      <c r="W759" s="26" t="n"/>
      <c r="X759" s="26" t="n"/>
    </row>
    <row r="760">
      <c r="A760" t="n">
        <v>367</v>
      </c>
      <c r="B760" t="inlineStr">
        <is>
          <t>civil-nx/gen-nx</t>
        </is>
      </c>
      <c r="C760" t="inlineStr">
        <is>
          <t>Construction Stage</t>
        </is>
      </c>
      <c r="D760" t="inlineStr">
        <is>
          <t>Construction Stage Data</t>
        </is>
      </c>
      <c r="E760" t="inlineStr">
        <is>
          <t>Creep Coefficient for Construction Stage</t>
        </is>
      </c>
      <c r="T760" t="inlineStr">
        <is>
          <t>none</t>
        </is>
      </c>
      <c r="Z760">
        <f>IF(OR(K369="",K369="TABLE"),"",
_xlfn.TEXTJOIN(", ",TRUE,
IF(E369&lt;&gt;"",E369&amp;K369,""),
IF(F369&lt;&gt;"",F369&amp;K369,""),
IF(G369&lt;&gt;"",G369&amp;K369,"")
))</f>
        <v/>
      </c>
      <c r="AA760">
        <f>IF(K369="","",IF(K369="TABLE","",K369))</f>
        <v/>
      </c>
      <c r="AB760">
        <f>IF(ISNUMBER(SEARCH("기존변경필요",SUBSTITUTE(TRIM(V369),CHAR(10)," "))),"",
IFERROR(
  _xlfn.XLOOKUP(AA369,'기존 end point'!B:B,'기존 end point'!B:B,,0),
""))</f>
        <v/>
      </c>
    </row>
    <row r="761">
      <c r="A761" t="n">
        <v>368</v>
      </c>
      <c r="B761" t="inlineStr">
        <is>
          <t>civil-nx/gen-nx</t>
        </is>
      </c>
      <c r="C761" t="inlineStr">
        <is>
          <t>Construction Stage</t>
        </is>
      </c>
      <c r="D761" t="inlineStr">
        <is>
          <t>Construction Stage Data</t>
        </is>
      </c>
      <c r="E761" t="inlineStr">
        <is>
          <t>Group Activation of CS</t>
        </is>
      </c>
      <c r="T761" t="inlineStr">
        <is>
          <t>none</t>
        </is>
      </c>
      <c r="Z761">
        <f>IF(OR(K370="",K370="TABLE"),"",
_xlfn.TEXTJOIN(", ",TRUE,
IF(E370&lt;&gt;"",E370&amp;K370,""),
IF(F370&lt;&gt;"",F370&amp;K370,""),
IF(G370&lt;&gt;"",G370&amp;K370,"")
))</f>
        <v/>
      </c>
      <c r="AA761">
        <f>IF(K370="","",IF(K370="TABLE","",K370))</f>
        <v/>
      </c>
      <c r="AB761">
        <f>IF(ISNUMBER(SEARCH("기존변경필요",SUBSTITUTE(TRIM(V370),CHAR(10)," "))),"",
IFERROR(
  _xlfn.XLOOKUP(AA370,'기존 end point'!B:B,'기존 end point'!B:B,,0),
""))</f>
        <v/>
      </c>
    </row>
    <row r="762">
      <c r="A762" t="n">
        <v>369</v>
      </c>
      <c r="B762" t="inlineStr">
        <is>
          <t>gen-nx</t>
        </is>
      </c>
      <c r="C762" t="inlineStr">
        <is>
          <t>Construction Stage</t>
        </is>
      </c>
      <c r="D762" t="inlineStr">
        <is>
          <t>Construction Stage Data</t>
        </is>
      </c>
      <c r="E762" t="inlineStr">
        <is>
          <t>Stage Display</t>
        </is>
      </c>
      <c r="T762" t="inlineStr">
        <is>
          <t>none</t>
        </is>
      </c>
      <c r="Z762">
        <f>IF(OR(K371="",K371="TABLE"),"",
_xlfn.TEXTJOIN(", ",TRUE,
IF(E371&lt;&gt;"",E371&amp;K371,""),
IF(F371&lt;&gt;"",F371&amp;K371,""),
IF(G371&lt;&gt;"",G371&amp;K371,"")
))</f>
        <v/>
      </c>
      <c r="AA762">
        <f>IF(K371="","",IF(K371="TABLE","",K371))</f>
        <v/>
      </c>
      <c r="AB762">
        <f>IF(ISNUMBER(SEARCH("기존변경필요",SUBSTITUTE(TRIM(V371),CHAR(10)," "))),"",
IFERROR(
  _xlfn.XLOOKUP(AA371,'기존 end point'!B:B,'기존 end point'!B:B,,0),
""))</f>
        <v/>
      </c>
    </row>
    <row r="763">
      <c r="A763" t="n">
        <v>370</v>
      </c>
      <c r="B763" t="inlineStr">
        <is>
          <t>civil-nx/gen-nx</t>
        </is>
      </c>
      <c r="C763" t="inlineStr">
        <is>
          <t>Construction Stage</t>
        </is>
      </c>
      <c r="D763" t="inlineStr">
        <is>
          <t>Load Tables</t>
        </is>
      </c>
      <c r="E763" t="inlineStr">
        <is>
          <t>C.S Load</t>
        </is>
      </c>
      <c r="F763" t="inlineStr">
        <is>
          <t>Time Loads for Contruction Stage</t>
        </is>
      </c>
      <c r="T763" t="inlineStr">
        <is>
          <t>none</t>
        </is>
      </c>
      <c r="Z763">
        <f>IF(OR(K372="",K372="TABLE"),"",
_xlfn.TEXTJOIN(", ",TRUE,
IF(E372&lt;&gt;"",E372&amp;K372,""),
IF(F372&lt;&gt;"",F372&amp;K372,""),
IF(G372&lt;&gt;"",G372&amp;K372,"")
))</f>
        <v/>
      </c>
      <c r="AA763">
        <f>IF(K372="","",IF(K372="TABLE","",K372))</f>
        <v/>
      </c>
      <c r="AB763">
        <f>IF(ISNUMBER(SEARCH("기존변경필요",SUBSTITUTE(TRIM(V372),CHAR(10)," "))),"",
IFERROR(
  _xlfn.XLOOKUP(AA372,'기존 end point'!B:B,'기존 end point'!B:B,,0),
""))</f>
        <v/>
      </c>
    </row>
    <row r="764">
      <c r="A764" t="n">
        <v>371</v>
      </c>
      <c r="B764" t="inlineStr">
        <is>
          <t>civil-nx/gen-nx</t>
        </is>
      </c>
      <c r="C764" t="inlineStr">
        <is>
          <t>Construction Stage</t>
        </is>
      </c>
      <c r="D764" t="inlineStr">
        <is>
          <t>Load Tables</t>
        </is>
      </c>
      <c r="E764" t="inlineStr">
        <is>
          <t>C.S Load</t>
        </is>
      </c>
      <c r="F764" t="inlineStr">
        <is>
          <t>Creep Coefficient for Contruction Stage</t>
        </is>
      </c>
      <c r="H764" t="inlineStr">
        <is>
          <t>db</t>
        </is>
      </c>
      <c r="I764" t="inlineStr">
        <is>
          <t>crpc</t>
        </is>
      </c>
      <c r="K764">
        <f>_xlfn.TEXTAFTER(L373,"/",-1)</f>
        <v/>
      </c>
      <c r="L764" t="inlineStr">
        <is>
          <t>/db/crpc</t>
        </is>
      </c>
      <c r="M764" t="inlineStr">
        <is>
          <t>Creep Coefficient for Construction Stage</t>
        </is>
      </c>
      <c r="N764" t="inlineStr">
        <is>
          <t>done</t>
        </is>
      </c>
      <c r="O764" t="inlineStr">
        <is>
          <t>done</t>
        </is>
      </c>
      <c r="P764" t="inlineStr">
        <is>
          <t>done</t>
        </is>
      </c>
      <c r="Q764" t="inlineStr">
        <is>
          <t>done</t>
        </is>
      </c>
      <c r="R764" t="inlineStr">
        <is>
          <t>done</t>
        </is>
      </c>
      <c r="S764" t="inlineStr">
        <is>
          <t>done</t>
        </is>
      </c>
      <c r="T764" t="inlineStr">
        <is>
          <t>Done</t>
        </is>
      </c>
      <c r="Z764">
        <f>IF(OR(K373="",K373="TABLE"),"",
_xlfn.TEXTJOIN(", ",TRUE,
IF(E373&lt;&gt;"",E373&amp;K373,""),
IF(F373&lt;&gt;"",F373&amp;K373,""),
IF(G373&lt;&gt;"",G373&amp;K373,"")
))</f>
        <v/>
      </c>
      <c r="AA764">
        <f>IF(K373="","",IF(K373="TABLE","",K373))</f>
        <v/>
      </c>
      <c r="AB764">
        <f>IF(ISNUMBER(SEARCH("기존변경필요",SUBSTITUTE(TRIM(V373),CHAR(10)," "))),"",
IFERROR(
  _xlfn.XLOOKUP(AA373,'기존 end point'!B:B,'기존 end point'!B:B,,0),
""))</f>
        <v/>
      </c>
    </row>
    <row r="765">
      <c r="A765" t="n">
        <v>372</v>
      </c>
      <c r="B765" t="inlineStr">
        <is>
          <t>civil-nx/gen-nx</t>
        </is>
      </c>
      <c r="C765" t="inlineStr">
        <is>
          <t>Heat of Hydration</t>
        </is>
      </c>
      <c r="D765" t="inlineStr">
        <is>
          <t>Heat of Hydration Analysis Data</t>
        </is>
      </c>
      <c r="E765" t="inlineStr">
        <is>
          <t>Ambient Temperature Functions</t>
        </is>
      </c>
      <c r="H765" t="inlineStr">
        <is>
          <t>db</t>
        </is>
      </c>
      <c r="I765" t="inlineStr">
        <is>
          <t>etfc</t>
        </is>
      </c>
      <c r="K765">
        <f>_xlfn.TEXTAFTER(L374,"/",-1)</f>
        <v/>
      </c>
      <c r="L765" t="inlineStr">
        <is>
          <t>/db/etfc</t>
        </is>
      </c>
      <c r="M765" t="inlineStr">
        <is>
          <t>Ambient Temperature Functions</t>
        </is>
      </c>
      <c r="N765" t="inlineStr">
        <is>
          <t>done</t>
        </is>
      </c>
      <c r="O765" t="inlineStr">
        <is>
          <t>done</t>
        </is>
      </c>
      <c r="P765" t="inlineStr">
        <is>
          <t>done</t>
        </is>
      </c>
      <c r="Q765" t="inlineStr">
        <is>
          <t>done</t>
        </is>
      </c>
      <c r="R765" t="inlineStr">
        <is>
          <t>done</t>
        </is>
      </c>
      <c r="S765" t="inlineStr">
        <is>
          <t>done</t>
        </is>
      </c>
      <c r="T765" t="inlineStr">
        <is>
          <t>Done</t>
        </is>
      </c>
      <c r="Z765">
        <f>IF(OR(K374="",K374="TABLE"),"",
_xlfn.TEXTJOIN(", ",TRUE,
IF(E374&lt;&gt;"",E374&amp;K374,""),
IF(F374&lt;&gt;"",F374&amp;K374,""),
IF(G374&lt;&gt;"",G374&amp;K374,"")
))</f>
        <v/>
      </c>
      <c r="AA765">
        <f>IF(K374="","",IF(K374="TABLE","",K374))</f>
        <v/>
      </c>
      <c r="AB765">
        <f>IF(ISNUMBER(SEARCH("기존변경필요",SUBSTITUTE(TRIM(V374),CHAR(10)," "))),"",
IFERROR(
  _xlfn.XLOOKUP(AA374,'기존 end point'!B:B,'기존 end point'!B:B,,0),
""))</f>
        <v/>
      </c>
    </row>
    <row r="766" hidden="1">
      <c r="A766" t="n">
        <v>373</v>
      </c>
      <c r="B766" t="inlineStr">
        <is>
          <t>civil-nx/gen-nx</t>
        </is>
      </c>
      <c r="C766" t="inlineStr">
        <is>
          <t>Heat of Hydration</t>
        </is>
      </c>
      <c r="D766" t="inlineStr">
        <is>
          <t>Heat of Hydration Analysis Data</t>
        </is>
      </c>
      <c r="E766" t="inlineStr">
        <is>
          <t>Convection</t>
        </is>
      </c>
      <c r="F766" t="inlineStr">
        <is>
          <t>Convection Coefficient Functions</t>
        </is>
      </c>
      <c r="H766" t="inlineStr">
        <is>
          <t>db</t>
        </is>
      </c>
      <c r="I766" t="inlineStr">
        <is>
          <t>ccfc</t>
        </is>
      </c>
      <c r="K766">
        <f>_xlfn.TEXTAFTER(L375,"/",-1)</f>
        <v/>
      </c>
      <c r="L766" t="inlineStr">
        <is>
          <t>/db/ccfc</t>
        </is>
      </c>
      <c r="M766" t="inlineStr">
        <is>
          <t>Convection Coefficient Functions</t>
        </is>
      </c>
      <c r="N766" t="inlineStr">
        <is>
          <t>done</t>
        </is>
      </c>
      <c r="O766" t="inlineStr">
        <is>
          <t>done</t>
        </is>
      </c>
      <c r="P766" t="inlineStr">
        <is>
          <t>done</t>
        </is>
      </c>
      <c r="Q766" t="inlineStr">
        <is>
          <t>done</t>
        </is>
      </c>
      <c r="R766" t="inlineStr">
        <is>
          <t>done</t>
        </is>
      </c>
      <c r="S766" t="inlineStr">
        <is>
          <t>done</t>
        </is>
      </c>
      <c r="T766" t="inlineStr">
        <is>
          <t>Done</t>
        </is>
      </c>
      <c r="Z766">
        <f>IF(OR(K375="",K375="TABLE"),"",
_xlfn.TEXTJOIN(", ",TRUE,
IF(E375&lt;&gt;"",E375&amp;K375,""),
IF(F375&lt;&gt;"",F375&amp;K375,""),
IF(G375&lt;&gt;"",G375&amp;K375,"")
))</f>
        <v/>
      </c>
      <c r="AA766">
        <f>IF(K375="","",IF(K375="TABLE","",K375))</f>
        <v/>
      </c>
      <c r="AB766">
        <f>IF(ISNUMBER(SEARCH("기존변경필요",SUBSTITUTE(TRIM(V375),CHAR(10)," "))),"",
IFERROR(
  _xlfn.XLOOKUP(AA375,'기존 end point'!B:B,'기존 end point'!B:B,,0),
""))</f>
        <v/>
      </c>
    </row>
    <row r="767" hidden="1">
      <c r="A767" t="n">
        <v>374</v>
      </c>
      <c r="B767" t="inlineStr">
        <is>
          <t>civil-nx/gen-nx</t>
        </is>
      </c>
      <c r="C767" t="inlineStr">
        <is>
          <t>Heat of Hydration</t>
        </is>
      </c>
      <c r="D767" t="inlineStr">
        <is>
          <t>Heat of Hydration Analysis Data</t>
        </is>
      </c>
      <c r="E767" t="inlineStr">
        <is>
          <t>Convection</t>
        </is>
      </c>
      <c r="F767" t="inlineStr">
        <is>
          <t>Element Convection Boundary</t>
        </is>
      </c>
      <c r="H767" t="inlineStr">
        <is>
          <t>db</t>
        </is>
      </c>
      <c r="I767" t="inlineStr">
        <is>
          <t>hecb</t>
        </is>
      </c>
      <c r="K767">
        <f>_xlfn.TEXTAFTER(L376,"/",-1)</f>
        <v/>
      </c>
      <c r="L767" t="inlineStr">
        <is>
          <t>/db/hecb</t>
        </is>
      </c>
      <c r="M767" t="inlineStr">
        <is>
          <t>Element Convection Boundary</t>
        </is>
      </c>
      <c r="N767" t="inlineStr">
        <is>
          <t>done</t>
        </is>
      </c>
      <c r="O767" t="inlineStr">
        <is>
          <t>done</t>
        </is>
      </c>
      <c r="P767" t="inlineStr">
        <is>
          <t>done</t>
        </is>
      </c>
      <c r="Q767" t="inlineStr">
        <is>
          <t>done</t>
        </is>
      </c>
      <c r="R767" t="inlineStr">
        <is>
          <t>done</t>
        </is>
      </c>
      <c r="S767" t="inlineStr">
        <is>
          <t>done</t>
        </is>
      </c>
      <c r="T767" t="inlineStr">
        <is>
          <t>Done</t>
        </is>
      </c>
      <c r="Z767">
        <f>IF(OR(K376="",K376="TABLE"),"",
_xlfn.TEXTJOIN(", ",TRUE,
IF(E376&lt;&gt;"",E376&amp;K376,""),
IF(F376&lt;&gt;"",F376&amp;K376,""),
IF(G376&lt;&gt;"",G376&amp;K376,"")
))</f>
        <v/>
      </c>
      <c r="AA767">
        <f>IF(K376="","",IF(K376="TABLE","",K376))</f>
        <v/>
      </c>
      <c r="AB767">
        <f>IF(ISNUMBER(SEARCH("기존변경필요",SUBSTITUTE(TRIM(V376),CHAR(10)," "))),"",
IFERROR(
  _xlfn.XLOOKUP(AA376,'기존 end point'!B:B,'기존 end point'!B:B,,0),
""))</f>
        <v/>
      </c>
    </row>
    <row r="768" hidden="1">
      <c r="A768" t="n">
        <v>375</v>
      </c>
      <c r="B768" t="inlineStr">
        <is>
          <t>civil-nx/gen-nx</t>
        </is>
      </c>
      <c r="C768" t="inlineStr">
        <is>
          <t>Heat of Hydration</t>
        </is>
      </c>
      <c r="D768" t="inlineStr">
        <is>
          <t>Heat of Hydration Analysis Data</t>
        </is>
      </c>
      <c r="E768" t="inlineStr">
        <is>
          <t>Prescribed Temp.</t>
        </is>
      </c>
      <c r="H768" t="inlineStr">
        <is>
          <t>db</t>
        </is>
      </c>
      <c r="I768" t="inlineStr">
        <is>
          <t>hspt</t>
        </is>
      </c>
      <c r="K768">
        <f>_xlfn.TEXTAFTER(L377,"/",-1)</f>
        <v/>
      </c>
      <c r="L768" t="inlineStr">
        <is>
          <t>/db/hspt</t>
        </is>
      </c>
      <c r="M768" t="inlineStr">
        <is>
          <t>Prescribed Temperature</t>
        </is>
      </c>
      <c r="N768" t="inlineStr">
        <is>
          <t>done</t>
        </is>
      </c>
      <c r="O768" t="inlineStr">
        <is>
          <t>done</t>
        </is>
      </c>
      <c r="P768" t="inlineStr">
        <is>
          <t>done</t>
        </is>
      </c>
      <c r="Q768" t="inlineStr">
        <is>
          <t>done</t>
        </is>
      </c>
      <c r="R768" t="inlineStr">
        <is>
          <t>done</t>
        </is>
      </c>
      <c r="S768" t="inlineStr">
        <is>
          <t>done</t>
        </is>
      </c>
      <c r="T768" t="inlineStr">
        <is>
          <t>Done</t>
        </is>
      </c>
      <c r="Z768">
        <f>IF(OR(K377="",K377="TABLE"),"",
_xlfn.TEXTJOIN(", ",TRUE,
IF(E377&lt;&gt;"",E377&amp;K377,""),
IF(F377&lt;&gt;"",F377&amp;K377,""),
IF(G377&lt;&gt;"",G377&amp;K377,"")
))</f>
        <v/>
      </c>
      <c r="AA768">
        <f>IF(K377="","",IF(K377="TABLE","",K377))</f>
        <v/>
      </c>
      <c r="AB768">
        <f>IF(ISNUMBER(SEARCH("기존변경필요",SUBSTITUTE(TRIM(V377),CHAR(10)," "))),"",
IFERROR(
  _xlfn.XLOOKUP(AA377,'기존 end point'!B:B,'기존 end point'!B:B,,0),
""))</f>
        <v/>
      </c>
    </row>
    <row r="769">
      <c r="A769" t="n">
        <v>376</v>
      </c>
      <c r="B769" t="inlineStr">
        <is>
          <t>civil-nx/gen-nx</t>
        </is>
      </c>
      <c r="C769" t="inlineStr">
        <is>
          <t>Heat of Hydration</t>
        </is>
      </c>
      <c r="D769" t="inlineStr">
        <is>
          <t>Heat of Hydration Analysis Data</t>
        </is>
      </c>
      <c r="E769" t="inlineStr">
        <is>
          <t>Heat Source</t>
        </is>
      </c>
      <c r="F769" t="inlineStr">
        <is>
          <t>Heat Source Functions</t>
        </is>
      </c>
      <c r="H769" t="inlineStr">
        <is>
          <t>db</t>
        </is>
      </c>
      <c r="I769" t="inlineStr">
        <is>
          <t>hsfc</t>
        </is>
      </c>
      <c r="K769">
        <f>_xlfn.TEXTAFTER(L378,"/",-1)</f>
        <v/>
      </c>
      <c r="L769" t="inlineStr">
        <is>
          <t>/db/hsfc</t>
        </is>
      </c>
      <c r="M769" t="inlineStr">
        <is>
          <t>Heat Source Functions</t>
        </is>
      </c>
      <c r="N769" t="inlineStr">
        <is>
          <t>done</t>
        </is>
      </c>
      <c r="O769" t="inlineStr">
        <is>
          <t>done</t>
        </is>
      </c>
      <c r="P769" t="inlineStr">
        <is>
          <t>done</t>
        </is>
      </c>
      <c r="Q769" t="inlineStr">
        <is>
          <t>done</t>
        </is>
      </c>
      <c r="R769" t="inlineStr">
        <is>
          <t>done</t>
        </is>
      </c>
      <c r="S769" t="inlineStr">
        <is>
          <t>done</t>
        </is>
      </c>
      <c r="T769" t="inlineStr">
        <is>
          <t>Done</t>
        </is>
      </c>
      <c r="Z769">
        <f>IF(OR(K378="",K378="TABLE"),"",
_xlfn.TEXTJOIN(", ",TRUE,
IF(E378&lt;&gt;"",E378&amp;K378,""),
IF(F378&lt;&gt;"",F378&amp;K378,""),
IF(G378&lt;&gt;"",G378&amp;K378,"")
))</f>
        <v/>
      </c>
      <c r="AA769">
        <f>IF(K378="","",IF(K378="TABLE","",K378))</f>
        <v/>
      </c>
      <c r="AB769">
        <f>IF(ISNUMBER(SEARCH("기존변경필요",SUBSTITUTE(TRIM(V378),CHAR(10)," "))),"",
IFERROR(
  _xlfn.XLOOKUP(AA378,'기존 end point'!B:B,'기존 end point'!B:B,,0),
""))</f>
        <v/>
      </c>
    </row>
    <row r="770" hidden="1">
      <c r="A770" t="n">
        <v>377</v>
      </c>
      <c r="B770" t="inlineStr">
        <is>
          <t>civil-nx/gen-nx</t>
        </is>
      </c>
      <c r="C770" t="inlineStr">
        <is>
          <t>Heat of Hydration</t>
        </is>
      </c>
      <c r="D770" t="inlineStr">
        <is>
          <t>Heat of Hydration Analysis Data</t>
        </is>
      </c>
      <c r="E770" t="inlineStr">
        <is>
          <t>Heat Source</t>
        </is>
      </c>
      <c r="F770" t="inlineStr">
        <is>
          <t>Assign Heat Source</t>
        </is>
      </c>
      <c r="H770" t="inlineStr">
        <is>
          <t>db</t>
        </is>
      </c>
      <c r="I770" t="inlineStr">
        <is>
          <t>hahs</t>
        </is>
      </c>
      <c r="K770">
        <f>_xlfn.TEXTAFTER(L379,"/",-1)</f>
        <v/>
      </c>
      <c r="L770" t="inlineStr">
        <is>
          <t>/db/hahs</t>
        </is>
      </c>
      <c r="M770" t="inlineStr">
        <is>
          <t>Assign Heat Source</t>
        </is>
      </c>
      <c r="N770" t="inlineStr">
        <is>
          <t>done</t>
        </is>
      </c>
      <c r="O770" t="inlineStr">
        <is>
          <t>done</t>
        </is>
      </c>
      <c r="P770" t="inlineStr">
        <is>
          <t>done</t>
        </is>
      </c>
      <c r="Q770" t="inlineStr">
        <is>
          <t>done</t>
        </is>
      </c>
      <c r="R770" t="inlineStr">
        <is>
          <t>done</t>
        </is>
      </c>
      <c r="S770" t="inlineStr">
        <is>
          <t>done</t>
        </is>
      </c>
      <c r="T770" t="inlineStr">
        <is>
          <t>Done</t>
        </is>
      </c>
      <c r="Z770">
        <f>IF(OR(K379="",K379="TABLE"),"",
_xlfn.TEXTJOIN(", ",TRUE,
IF(E379&lt;&gt;"",E379&amp;K379,""),
IF(F379&lt;&gt;"",F379&amp;K379,""),
IF(G379&lt;&gt;"",G379&amp;K379,"")
))</f>
        <v/>
      </c>
      <c r="AA770">
        <f>IF(K379="","",IF(K379="TABLE","",K379))</f>
        <v/>
      </c>
      <c r="AB770">
        <f>IF(ISNUMBER(SEARCH("기존변경필요",SUBSTITUTE(TRIM(V379),CHAR(10)," "))),"",
IFERROR(
  _xlfn.XLOOKUP(AA379,'기존 end point'!B:B,'기존 end point'!B:B,,0),
""))</f>
        <v/>
      </c>
    </row>
    <row r="771" hidden="1">
      <c r="A771" t="n">
        <v>378</v>
      </c>
      <c r="B771" t="inlineStr">
        <is>
          <t>civil-nx/gen-nx</t>
        </is>
      </c>
      <c r="C771" t="inlineStr">
        <is>
          <t>Heat of Hydration</t>
        </is>
      </c>
      <c r="D771" t="inlineStr">
        <is>
          <t>Heat of Hydration Analysis Data</t>
        </is>
      </c>
      <c r="E771" t="inlineStr">
        <is>
          <t>Pipe Cooling</t>
        </is>
      </c>
      <c r="H771" t="inlineStr">
        <is>
          <t>db</t>
        </is>
      </c>
      <c r="I771" t="inlineStr">
        <is>
          <t>hpce</t>
        </is>
      </c>
      <c r="K771">
        <f>_xlfn.TEXTAFTER(L380,"/",-1)</f>
        <v/>
      </c>
      <c r="L771" t="inlineStr">
        <is>
          <t>/db/hpce</t>
        </is>
      </c>
      <c r="M771" t="inlineStr">
        <is>
          <t>Pipe Cooling</t>
        </is>
      </c>
      <c r="N771" t="inlineStr">
        <is>
          <t>done</t>
        </is>
      </c>
      <c r="O771" t="inlineStr">
        <is>
          <t>done</t>
        </is>
      </c>
      <c r="P771" t="inlineStr">
        <is>
          <t>done</t>
        </is>
      </c>
      <c r="Q771" t="inlineStr">
        <is>
          <t>done</t>
        </is>
      </c>
      <c r="R771" t="inlineStr">
        <is>
          <t>done</t>
        </is>
      </c>
      <c r="S771" t="inlineStr">
        <is>
          <t>done</t>
        </is>
      </c>
      <c r="T771" t="inlineStr">
        <is>
          <t>Done</t>
        </is>
      </c>
      <c r="Z771">
        <f>IF(OR(K380="",K380="TABLE"),"",
_xlfn.TEXTJOIN(", ",TRUE,
IF(E380&lt;&gt;"",E380&amp;K380,""),
IF(F380&lt;&gt;"",F380&amp;K380,""),
IF(G380&lt;&gt;"",G380&amp;K380,"")
))</f>
        <v/>
      </c>
      <c r="AA771">
        <f>IF(K380="","",IF(K380="TABLE","",K380))</f>
        <v/>
      </c>
      <c r="AB771">
        <f>IF(ISNUMBER(SEARCH("기존변경필요",SUBSTITUTE(TRIM(V380),CHAR(10)," "))),"",
IFERROR(
  _xlfn.XLOOKUP(AA380,'기존 end point'!B:B,'기존 end point'!B:B,,0),
""))</f>
        <v/>
      </c>
    </row>
    <row r="772" hidden="1">
      <c r="A772" t="n">
        <v>379</v>
      </c>
      <c r="B772" t="inlineStr">
        <is>
          <t>civil-nx/gen-nx</t>
        </is>
      </c>
      <c r="C772" t="inlineStr">
        <is>
          <t>Heat of Hydration</t>
        </is>
      </c>
      <c r="D772" t="inlineStr">
        <is>
          <t>Heat of Hydration Analysis Data</t>
        </is>
      </c>
      <c r="E772" t="inlineStr">
        <is>
          <t>Define CS for Hydration</t>
        </is>
      </c>
      <c r="H772" t="inlineStr">
        <is>
          <t>db</t>
        </is>
      </c>
      <c r="I772" t="inlineStr">
        <is>
          <t>hstg</t>
        </is>
      </c>
      <c r="K772">
        <f>_xlfn.TEXTAFTER(L381,"/",-1)</f>
        <v/>
      </c>
      <c r="L772" t="inlineStr">
        <is>
          <t>/db/hstg</t>
        </is>
      </c>
      <c r="M772" t="inlineStr">
        <is>
          <t>Define Construction Stage for Hydration</t>
        </is>
      </c>
      <c r="N772" t="inlineStr">
        <is>
          <t>done</t>
        </is>
      </c>
      <c r="O772" t="inlineStr">
        <is>
          <t>done</t>
        </is>
      </c>
      <c r="P772" t="inlineStr">
        <is>
          <t>done</t>
        </is>
      </c>
      <c r="Q772" t="inlineStr">
        <is>
          <t>done</t>
        </is>
      </c>
      <c r="R772" t="inlineStr">
        <is>
          <t>done</t>
        </is>
      </c>
      <c r="S772" t="inlineStr">
        <is>
          <t>done</t>
        </is>
      </c>
      <c r="T772" t="inlineStr">
        <is>
          <t>Done</t>
        </is>
      </c>
      <c r="Z772">
        <f>IF(OR(K381="",K381="TABLE"),"",
_xlfn.TEXTJOIN(", ",TRUE,
IF(E381&lt;&gt;"",E381&amp;K381,""),
IF(F381&lt;&gt;"",F381&amp;K381,""),
IF(G381&lt;&gt;"",G381&amp;K381,"")
))</f>
        <v/>
      </c>
      <c r="AA772">
        <f>IF(K381="","",IF(K381="TABLE","",K381))</f>
        <v/>
      </c>
      <c r="AB772">
        <f>IF(ISNUMBER(SEARCH("기존변경필요",SUBSTITUTE(TRIM(V381),CHAR(10)," "))),"",
IFERROR(
  _xlfn.XLOOKUP(AA381,'기존 end point'!B:B,'기존 end point'!B:B,,0),
""))</f>
        <v/>
      </c>
    </row>
    <row r="773">
      <c r="A773" t="n">
        <v>380</v>
      </c>
      <c r="B773" t="inlineStr">
        <is>
          <t>gen-nx</t>
        </is>
      </c>
      <c r="C773" t="inlineStr">
        <is>
          <t>Heat of Hydration</t>
        </is>
      </c>
      <c r="D773" t="inlineStr">
        <is>
          <t>Heat of Hydration Analysis Data</t>
        </is>
      </c>
      <c r="E773" t="inlineStr">
        <is>
          <t>Stage Display</t>
        </is>
      </c>
      <c r="T773" t="inlineStr">
        <is>
          <t>none</t>
        </is>
      </c>
      <c r="Z773">
        <f>IF(OR(K382="",K382="TABLE"),"",
_xlfn.TEXTJOIN(", ",TRUE,
IF(E382&lt;&gt;"",E382&amp;K382,""),
IF(F382&lt;&gt;"",F382&amp;K382,""),
IF(G382&lt;&gt;"",G382&amp;K382,"")
))</f>
        <v/>
      </c>
      <c r="AA773">
        <f>IF(K382="","",IF(K382="TABLE","",K382))</f>
        <v/>
      </c>
      <c r="AB773">
        <f>IF(ISNUMBER(SEARCH("기존변경필요",SUBSTITUTE(TRIM(V382),CHAR(10)," "))),"",
IFERROR(
  _xlfn.XLOOKUP(AA382,'기존 end point'!B:B,'기존 end point'!B:B,,0),
""))</f>
        <v/>
      </c>
    </row>
    <row r="774">
      <c r="A774" t="n">
        <v>381</v>
      </c>
      <c r="B774" t="inlineStr">
        <is>
          <t>civil-nx/gen-nx</t>
        </is>
      </c>
      <c r="C774" t="inlineStr">
        <is>
          <t>Heat of Hydration</t>
        </is>
      </c>
      <c r="D774" t="inlineStr">
        <is>
          <t>Load Tables</t>
        </is>
      </c>
      <c r="E774" t="inlineStr">
        <is>
          <t>Element Convection Boundary</t>
        </is>
      </c>
      <c r="T774" t="inlineStr">
        <is>
          <t>none</t>
        </is>
      </c>
      <c r="Z774">
        <f>IF(OR(K383="",K383="TABLE"),"",
_xlfn.TEXTJOIN(", ",TRUE,
IF(E383&lt;&gt;"",E383&amp;K383,""),
IF(F383&lt;&gt;"",F383&amp;K383,""),
IF(G383&lt;&gt;"",G383&amp;K383,"")
))</f>
        <v/>
      </c>
      <c r="AA774">
        <f>IF(K383="","",IF(K383="TABLE","",K383))</f>
        <v/>
      </c>
      <c r="AB774">
        <f>IF(ISNUMBER(SEARCH("기존변경필요",SUBSTITUTE(TRIM(V383),CHAR(10)," "))),"",
IFERROR(
  _xlfn.XLOOKUP(AA383,'기존 end point'!B:B,'기존 end point'!B:B,,0),
""))</f>
        <v/>
      </c>
    </row>
    <row r="775">
      <c r="A775" t="n">
        <v>382</v>
      </c>
      <c r="B775" t="inlineStr">
        <is>
          <t>civil-nx/gen-nx</t>
        </is>
      </c>
      <c r="C775" t="inlineStr">
        <is>
          <t>Heat of Hydration</t>
        </is>
      </c>
      <c r="D775" t="inlineStr">
        <is>
          <t>Load Tables</t>
        </is>
      </c>
      <c r="E775" t="inlineStr">
        <is>
          <t>Prescribed Temperatures</t>
        </is>
      </c>
      <c r="T775" t="inlineStr">
        <is>
          <t>none</t>
        </is>
      </c>
      <c r="Z775">
        <f>IF(OR(K384="",K384="TABLE"),"",
_xlfn.TEXTJOIN(", ",TRUE,
IF(E384&lt;&gt;"",E384&amp;K384,""),
IF(F384&lt;&gt;"",F384&amp;K384,""),
IF(G384&lt;&gt;"",G384&amp;K384,"")
))</f>
        <v/>
      </c>
      <c r="AA775">
        <f>IF(K384="","",IF(K384="TABLE","",K384))</f>
        <v/>
      </c>
      <c r="AB775">
        <f>IF(ISNUMBER(SEARCH("기존변경필요",SUBSTITUTE(TRIM(V384),CHAR(10)," "))),"",
IFERROR(
  _xlfn.XLOOKUP(AA384,'기존 end point'!B:B,'기존 end point'!B:B,,0),
""))</f>
        <v/>
      </c>
    </row>
    <row r="776">
      <c r="A776" t="n">
        <v>383</v>
      </c>
      <c r="B776" t="inlineStr">
        <is>
          <t>civil-nx/gen-nx</t>
        </is>
      </c>
      <c r="C776" t="inlineStr">
        <is>
          <t>Heat of Hydration</t>
        </is>
      </c>
      <c r="D776" t="inlineStr">
        <is>
          <t>Load Tables</t>
        </is>
      </c>
      <c r="E776" t="inlineStr">
        <is>
          <t>Assign Heat Source</t>
        </is>
      </c>
      <c r="T776" t="inlineStr">
        <is>
          <t>none</t>
        </is>
      </c>
      <c r="Z776">
        <f>IF(OR(K385="",K385="TABLE"),"",
_xlfn.TEXTJOIN(", ",TRUE,
IF(E385&lt;&gt;"",E385&amp;K385,""),
IF(F385&lt;&gt;"",F385&amp;K385,""),
IF(G385&lt;&gt;"",G385&amp;K385,"")
))</f>
        <v/>
      </c>
      <c r="AA776">
        <f>IF(K385="","",IF(K385="TABLE","",K385))</f>
        <v/>
      </c>
      <c r="AB776">
        <f>IF(ISNUMBER(SEARCH("기존변경필요",SUBSTITUTE(TRIM(V385),CHAR(10)," "))),"",
IFERROR(
  _xlfn.XLOOKUP(AA385,'기존 end point'!B:B,'기존 end point'!B:B,,0),
""))</f>
        <v/>
      </c>
    </row>
    <row r="777">
      <c r="A777" t="n">
        <v>384</v>
      </c>
      <c r="B777" t="inlineStr">
        <is>
          <t>civil-nx/gen-nx</t>
        </is>
      </c>
      <c r="C777" t="inlineStr">
        <is>
          <t>Settlement</t>
        </is>
      </c>
      <c r="D777" t="inlineStr">
        <is>
          <t>Settlement Analysis Data</t>
        </is>
      </c>
      <c r="E777" t="inlineStr">
        <is>
          <t>Settlement Group</t>
        </is>
      </c>
      <c r="H777" t="inlineStr">
        <is>
          <t>db</t>
        </is>
      </c>
      <c r="I777" t="inlineStr">
        <is>
          <t>smpt</t>
        </is>
      </c>
      <c r="K777">
        <f>_xlfn.TEXTAFTER(L386,"/",-1)</f>
        <v/>
      </c>
      <c r="L777" t="inlineStr">
        <is>
          <t>/db/smpt</t>
        </is>
      </c>
      <c r="M777" t="inlineStr">
        <is>
          <t>Settlement Group</t>
        </is>
      </c>
      <c r="N777" t="inlineStr">
        <is>
          <t>done</t>
        </is>
      </c>
      <c r="O777" t="inlineStr">
        <is>
          <t>done</t>
        </is>
      </c>
      <c r="P777" t="inlineStr">
        <is>
          <t>done</t>
        </is>
      </c>
      <c r="Q777" t="inlineStr">
        <is>
          <t>done</t>
        </is>
      </c>
      <c r="R777" t="inlineStr">
        <is>
          <t>done</t>
        </is>
      </c>
      <c r="S777" t="inlineStr">
        <is>
          <t>done</t>
        </is>
      </c>
      <c r="T777" t="inlineStr">
        <is>
          <t>Done</t>
        </is>
      </c>
      <c r="Z777">
        <f>IF(OR(K386="",K386="TABLE"),"",
_xlfn.TEXTJOIN(", ",TRUE,
IF(E386&lt;&gt;"",E386&amp;K386,""),
IF(F386&lt;&gt;"",F386&amp;K386,""),
IF(G386&lt;&gt;"",G386&amp;K386,"")
))</f>
        <v/>
      </c>
      <c r="AA777">
        <f>IF(K386="","",IF(K386="TABLE","",K386))</f>
        <v/>
      </c>
      <c r="AB777">
        <f>IF(ISNUMBER(SEARCH("기존변경필요",SUBSTITUTE(TRIM(V386),CHAR(10)," "))),"",
IFERROR(
  _xlfn.XLOOKUP(AA386,'기존 end point'!B:B,'기존 end point'!B:B,,0),
""))</f>
        <v/>
      </c>
    </row>
    <row r="778" hidden="1">
      <c r="A778" t="n">
        <v>385</v>
      </c>
      <c r="B778" t="inlineStr">
        <is>
          <t>civil-nx/gen-nx</t>
        </is>
      </c>
      <c r="C778" t="inlineStr">
        <is>
          <t>Settlement</t>
        </is>
      </c>
      <c r="D778" t="inlineStr">
        <is>
          <t>Settlement Analysis Data</t>
        </is>
      </c>
      <c r="E778" t="inlineStr">
        <is>
          <t>Settlement Load Cases</t>
        </is>
      </c>
      <c r="H778" t="inlineStr">
        <is>
          <t>db</t>
        </is>
      </c>
      <c r="I778" t="inlineStr">
        <is>
          <t>smlc</t>
        </is>
      </c>
      <c r="K778">
        <f>_xlfn.TEXTAFTER(L387,"/",-1)</f>
        <v/>
      </c>
      <c r="L778" t="inlineStr">
        <is>
          <t>/db/smlc</t>
        </is>
      </c>
      <c r="M778" t="inlineStr">
        <is>
          <t>Settlement Load Cases</t>
        </is>
      </c>
      <c r="N778" t="inlineStr">
        <is>
          <t>done</t>
        </is>
      </c>
      <c r="O778" t="inlineStr">
        <is>
          <t>done</t>
        </is>
      </c>
      <c r="P778" t="inlineStr">
        <is>
          <t>done</t>
        </is>
      </c>
      <c r="Q778" t="inlineStr">
        <is>
          <t>done</t>
        </is>
      </c>
      <c r="R778" t="inlineStr">
        <is>
          <t>done</t>
        </is>
      </c>
      <c r="S778" t="inlineStr">
        <is>
          <t>done</t>
        </is>
      </c>
      <c r="T778" t="inlineStr">
        <is>
          <t>Done</t>
        </is>
      </c>
      <c r="Z778">
        <f>IF(OR(K387="",K387="TABLE"),"",
_xlfn.TEXTJOIN(", ",TRUE,
IF(E387&lt;&gt;"",E387&amp;K387,""),
IF(F387&lt;&gt;"",F387&amp;K387,""),
IF(G387&lt;&gt;"",G387&amp;K387,"")
))</f>
        <v/>
      </c>
      <c r="AA778">
        <f>IF(K387="","",IF(K387="TABLE","",K387))</f>
        <v/>
      </c>
      <c r="AB778">
        <f>IF(ISNUMBER(SEARCH("기존변경필요",SUBSTITUTE(TRIM(V387),CHAR(10)," "))),"",
IFERROR(
  _xlfn.XLOOKUP(AA387,'기존 end point'!B:B,'기존 end point'!B:B,,0),
""))</f>
        <v/>
      </c>
    </row>
    <row r="779" hidden="1">
      <c r="A779" t="n">
        <v>386</v>
      </c>
      <c r="B779" t="inlineStr">
        <is>
          <t>civil-nx/gen-nx</t>
        </is>
      </c>
      <c r="C779" t="inlineStr">
        <is>
          <t>Misc.</t>
        </is>
      </c>
      <c r="D779" t="inlineStr">
        <is>
          <t>Etc</t>
        </is>
      </c>
      <c r="E779" t="inlineStr">
        <is>
          <t>Pre-composite Section</t>
        </is>
      </c>
      <c r="H779" t="inlineStr">
        <is>
          <t>db</t>
        </is>
      </c>
      <c r="I779" t="inlineStr">
        <is>
          <t>plcb</t>
        </is>
      </c>
      <c r="K779">
        <f>_xlfn.TEXTAFTER(L388,"/",-1)</f>
        <v/>
      </c>
      <c r="L779" t="inlineStr">
        <is>
          <t>/db/plcb</t>
        </is>
      </c>
      <c r="M779" t="inlineStr">
        <is>
          <t>Pre-composite Section</t>
        </is>
      </c>
      <c r="N779" t="inlineStr">
        <is>
          <t>done</t>
        </is>
      </c>
      <c r="O779" t="inlineStr">
        <is>
          <t>done</t>
        </is>
      </c>
      <c r="P779" t="inlineStr">
        <is>
          <t>done</t>
        </is>
      </c>
      <c r="Q779" t="inlineStr">
        <is>
          <t>done</t>
        </is>
      </c>
      <c r="R779" t="inlineStr">
        <is>
          <t>done</t>
        </is>
      </c>
      <c r="S779" t="inlineStr">
        <is>
          <t>done</t>
        </is>
      </c>
      <c r="T779" t="inlineStr">
        <is>
          <t>Done</t>
        </is>
      </c>
      <c r="Z779">
        <f>IF(OR(K388="",K388="TABLE"),"",
_xlfn.TEXTJOIN(", ",TRUE,
IF(E388&lt;&gt;"",E388&amp;K388,""),
IF(F388&lt;&gt;"",F388&amp;K388,""),
IF(G388&lt;&gt;"",G388&amp;K388,"")
))</f>
        <v/>
      </c>
      <c r="AA779">
        <f>IF(K388="","",IF(K388="TABLE","",K388))</f>
        <v/>
      </c>
      <c r="AB779">
        <f>IF(ISNUMBER(SEARCH("기존변경필요",SUBSTITUTE(TRIM(V388),CHAR(10)," "))),"",
IFERROR(
  _xlfn.XLOOKUP(AA388,'기존 end point'!B:B,'기존 end point'!B:B,,0),
""))</f>
        <v/>
      </c>
    </row>
    <row r="780" hidden="1">
      <c r="A780" t="n">
        <v>387</v>
      </c>
      <c r="B780" t="inlineStr">
        <is>
          <t>civil-nx/gen-nx</t>
        </is>
      </c>
      <c r="C780" t="inlineStr">
        <is>
          <t>Misc.</t>
        </is>
      </c>
      <c r="D780" t="inlineStr">
        <is>
          <t>Etc</t>
        </is>
      </c>
      <c r="E780" t="inlineStr">
        <is>
          <t>Load Sequence for Nonlinear</t>
        </is>
      </c>
      <c r="H780" t="inlineStr">
        <is>
          <t>db</t>
        </is>
      </c>
      <c r="I780" t="inlineStr">
        <is>
          <t>ldsq</t>
        </is>
      </c>
      <c r="K780">
        <f>_xlfn.TEXTAFTER(L389,"/",-1)</f>
        <v/>
      </c>
      <c r="L780" t="inlineStr">
        <is>
          <t>/db/ldsq</t>
        </is>
      </c>
      <c r="M780" t="inlineStr">
        <is>
          <t>Load Sequence for Nonlinear</t>
        </is>
      </c>
      <c r="N780" t="inlineStr">
        <is>
          <t>done</t>
        </is>
      </c>
      <c r="O780" t="inlineStr">
        <is>
          <t>done</t>
        </is>
      </c>
      <c r="P780" t="inlineStr">
        <is>
          <t>done</t>
        </is>
      </c>
      <c r="Q780" t="inlineStr">
        <is>
          <t>done</t>
        </is>
      </c>
      <c r="R780" t="inlineStr">
        <is>
          <t>done</t>
        </is>
      </c>
      <c r="S780" t="inlineStr">
        <is>
          <t>done</t>
        </is>
      </c>
      <c r="T780" t="inlineStr">
        <is>
          <t>Done</t>
        </is>
      </c>
      <c r="Z780">
        <f>IF(OR(K389="",K389="TABLE"),"",
_xlfn.TEXTJOIN(", ",TRUE,
IF(E389&lt;&gt;"",E389&amp;K389,""),
IF(F389&lt;&gt;"",F389&amp;K389,""),
IF(G389&lt;&gt;"",G389&amp;K389,"")
))</f>
        <v/>
      </c>
      <c r="AA780">
        <f>IF(K389="","",IF(K389="TABLE","",K389))</f>
        <v/>
      </c>
      <c r="AB780">
        <f>IF(ISNUMBER(SEARCH("기존변경필요",SUBSTITUTE(TRIM(V389),CHAR(10)," "))),"",
IFERROR(
  _xlfn.XLOOKUP(AA389,'기존 end point'!B:B,'기존 end point'!B:B,,0),
""))</f>
        <v/>
      </c>
    </row>
    <row r="781" hidden="1">
      <c r="A781" s="26" t="n"/>
      <c r="B781" s="26" t="n"/>
      <c r="C781" s="26" t="inlineStr">
        <is>
          <t>DB_Miscellaneous Loads</t>
        </is>
      </c>
      <c r="D781" s="26" t="inlineStr">
        <is>
          <t>DB_Miscellaneous Loads</t>
        </is>
      </c>
      <c r="E781" s="26" t="inlineStr">
        <is>
          <t>Wave Loads</t>
        </is>
      </c>
      <c r="F781" s="26" t="n"/>
      <c r="G781" s="26" t="n"/>
      <c r="H781" s="26" t="inlineStr">
        <is>
          <t>DB</t>
        </is>
      </c>
      <c r="I781" s="26" t="inlineStr">
        <is>
          <t>WVLD</t>
        </is>
      </c>
      <c r="J781" s="26" t="n"/>
      <c r="K781" s="26" t="n"/>
      <c r="L781" s="26" t="inlineStr">
        <is>
          <t>/DB/WVLD</t>
        </is>
      </c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inlineStr">
        <is>
          <t>DELETE, GET, POST, PUT</t>
        </is>
      </c>
      <c r="W781" s="26" t="n"/>
      <c r="X781" s="26" t="n"/>
    </row>
    <row r="782" hidden="1">
      <c r="A782" t="n">
        <v>388</v>
      </c>
      <c r="B782" t="inlineStr">
        <is>
          <t>civil-nx/gen-nx</t>
        </is>
      </c>
      <c r="C782" t="inlineStr">
        <is>
          <t>Misc.</t>
        </is>
      </c>
      <c r="D782" t="inlineStr">
        <is>
          <t>Etc</t>
        </is>
      </c>
      <c r="E782" t="inlineStr">
        <is>
          <t>Ignore Elements for Load Cases</t>
        </is>
      </c>
      <c r="H782" t="inlineStr">
        <is>
          <t>db</t>
        </is>
      </c>
      <c r="I782" t="inlineStr">
        <is>
          <t>ielc</t>
        </is>
      </c>
      <c r="K782">
        <f>_xlfn.TEXTAFTER(L390,"/",-1)</f>
        <v/>
      </c>
      <c r="L782" t="inlineStr">
        <is>
          <t>/db/ielc</t>
        </is>
      </c>
      <c r="M782" t="inlineStr">
        <is>
          <t>Ignore Elements for Load Cases</t>
        </is>
      </c>
      <c r="N782" t="inlineStr">
        <is>
          <t>done</t>
        </is>
      </c>
      <c r="O782" t="inlineStr">
        <is>
          <t>done</t>
        </is>
      </c>
      <c r="P782" t="inlineStr">
        <is>
          <t>done</t>
        </is>
      </c>
      <c r="Q782" t="inlineStr">
        <is>
          <t>done</t>
        </is>
      </c>
      <c r="R782" t="inlineStr">
        <is>
          <t>done</t>
        </is>
      </c>
      <c r="S782" t="inlineStr">
        <is>
          <t>done</t>
        </is>
      </c>
      <c r="T782" t="inlineStr">
        <is>
          <t>Done</t>
        </is>
      </c>
      <c r="Z782">
        <f>IF(OR(K390="",K390="TABLE"),"",
_xlfn.TEXTJOIN(", ",TRUE,
IF(E390&lt;&gt;"",E390&amp;K390,""),
IF(F390&lt;&gt;"",F390&amp;K390,""),
IF(G390&lt;&gt;"",G390&amp;K390,"")
))</f>
        <v/>
      </c>
      <c r="AA782">
        <f>IF(K390="","",IF(K390="TABLE","",K390))</f>
        <v/>
      </c>
      <c r="AB782">
        <f>IF(ISNUMBER(SEARCH("기존변경필요",SUBSTITUTE(TRIM(V390),CHAR(10)," "))),"",
IFERROR(
  _xlfn.XLOOKUP(AA390,'기존 end point'!B:B,'기존 end point'!B:B,,0),
""))</f>
        <v/>
      </c>
    </row>
    <row r="783" hidden="1">
      <c r="A783" t="n">
        <v>389</v>
      </c>
      <c r="B783" t="inlineStr">
        <is>
          <t>gen-nx</t>
        </is>
      </c>
      <c r="C783" t="inlineStr">
        <is>
          <t>Misc.</t>
        </is>
      </c>
      <c r="D783" t="inlineStr">
        <is>
          <t>Etc</t>
        </is>
      </c>
      <c r="E783" t="inlineStr">
        <is>
          <t>Imperfection</t>
        </is>
      </c>
      <c r="F783" t="inlineStr">
        <is>
          <t>Create Imperfection Load</t>
        </is>
      </c>
      <c r="T783" t="inlineStr">
        <is>
          <t>none</t>
        </is>
      </c>
      <c r="Z783">
        <f>IF(OR(K391="",K391="TABLE"),"",
_xlfn.TEXTJOIN(", ",TRUE,
IF(E391&lt;&gt;"",E391&amp;K391,""),
IF(F391&lt;&gt;"",F391&amp;K391,""),
IF(G391&lt;&gt;"",G391&amp;K391,"")
))</f>
        <v/>
      </c>
      <c r="AA783">
        <f>IF(K391="","",IF(K391="TABLE","",K391))</f>
        <v/>
      </c>
      <c r="AB783">
        <f>IF(ISNUMBER(SEARCH("기존변경필요",SUBSTITUTE(TRIM(V391),CHAR(10)," "))),"",
IFERROR(
  _xlfn.XLOOKUP(AA391,'기존 end point'!B:B,'기존 end point'!B:B,,0),
""))</f>
        <v/>
      </c>
    </row>
    <row r="784" hidden="1">
      <c r="A784" t="n">
        <v>390</v>
      </c>
      <c r="B784" t="inlineStr">
        <is>
          <t>civil-nx/gen-nx</t>
        </is>
      </c>
      <c r="C784" t="inlineStr">
        <is>
          <t>Misc.</t>
        </is>
      </c>
      <c r="D784" t="inlineStr">
        <is>
          <t>Initial Forces</t>
        </is>
      </c>
      <c r="E784" t="inlineStr">
        <is>
          <t>Large Displacement</t>
        </is>
      </c>
      <c r="F784" t="inlineStr">
        <is>
          <t>Initial Forces for Geometric Stiffness</t>
        </is>
      </c>
      <c r="H784" t="inlineStr">
        <is>
          <t>db</t>
        </is>
      </c>
      <c r="I784" t="inlineStr">
        <is>
          <t>ifgs</t>
        </is>
      </c>
      <c r="K784">
        <f>_xlfn.TEXTAFTER(L392,"/",-1)</f>
        <v/>
      </c>
      <c r="L784" t="inlineStr">
        <is>
          <t>/db/ifgs</t>
        </is>
      </c>
      <c r="M784" t="inlineStr">
        <is>
          <t>Large Displacement - Initial Forces for Geometric Stiffness</t>
        </is>
      </c>
      <c r="N784" t="inlineStr">
        <is>
          <t>done</t>
        </is>
      </c>
      <c r="O784" t="inlineStr">
        <is>
          <t>done</t>
        </is>
      </c>
      <c r="P784" t="inlineStr">
        <is>
          <t>done</t>
        </is>
      </c>
      <c r="Q784" t="inlineStr">
        <is>
          <t>done</t>
        </is>
      </c>
      <c r="R784" t="inlineStr">
        <is>
          <t>done</t>
        </is>
      </c>
      <c r="S784" t="inlineStr">
        <is>
          <t>done</t>
        </is>
      </c>
      <c r="T784" t="inlineStr">
        <is>
          <t>Done</t>
        </is>
      </c>
      <c r="Z784">
        <f>IF(OR(K392="",K392="TABLE"),"",
_xlfn.TEXTJOIN(", ",TRUE,
IF(E392&lt;&gt;"",E392&amp;K392,""),
IF(F392&lt;&gt;"",F392&amp;K392,""),
IF(G392&lt;&gt;"",G392&amp;K392,"")
))</f>
        <v/>
      </c>
      <c r="AA784">
        <f>IF(K392="","",IF(K392="TABLE","",K392))</f>
        <v/>
      </c>
      <c r="AB784">
        <f>IF(ISNUMBER(SEARCH("기존변경필요",SUBSTITUTE(TRIM(V392),CHAR(10)," "))),"",
IFERROR(
  _xlfn.XLOOKUP(AA392,'기존 end point'!B:B,'기존 end point'!B:B,,0),
""))</f>
        <v/>
      </c>
    </row>
    <row r="785" hidden="1">
      <c r="A785" t="n">
        <v>391</v>
      </c>
      <c r="B785" t="inlineStr">
        <is>
          <t>civil-nx/gen-nx</t>
        </is>
      </c>
      <c r="C785" t="inlineStr">
        <is>
          <t>Misc.</t>
        </is>
      </c>
      <c r="D785" t="inlineStr">
        <is>
          <t>Initial Forces</t>
        </is>
      </c>
      <c r="E785" t="inlineStr">
        <is>
          <t>Small Displacement</t>
        </is>
      </c>
      <c r="F785" t="inlineStr">
        <is>
          <t>Initial Forces Control Data</t>
        </is>
      </c>
      <c r="H785" t="inlineStr">
        <is>
          <t>db</t>
        </is>
      </c>
      <c r="I785" t="inlineStr">
        <is>
          <t>efct</t>
        </is>
      </c>
      <c r="K785">
        <f>_xlfn.TEXTAFTER(L393,"/",-1)</f>
        <v/>
      </c>
      <c r="L785" t="inlineStr">
        <is>
          <t>/db/efct</t>
        </is>
      </c>
      <c r="M785" t="inlineStr">
        <is>
          <t>Small Displacement - Initial Force Control Data</t>
        </is>
      </c>
      <c r="N785" t="inlineStr">
        <is>
          <t>done</t>
        </is>
      </c>
      <c r="O785" t="inlineStr">
        <is>
          <t>done</t>
        </is>
      </c>
      <c r="P785" t="inlineStr">
        <is>
          <t>done</t>
        </is>
      </c>
      <c r="Q785" t="inlineStr">
        <is>
          <t>done</t>
        </is>
      </c>
      <c r="R785" t="inlineStr">
        <is>
          <t>done</t>
        </is>
      </c>
      <c r="S785" t="inlineStr">
        <is>
          <t>done</t>
        </is>
      </c>
      <c r="T785" t="inlineStr">
        <is>
          <t>Done</t>
        </is>
      </c>
      <c r="Z785">
        <f>IF(OR(K393="",K393="TABLE"),"",
_xlfn.TEXTJOIN(", ",TRUE,
IF(E393&lt;&gt;"",E393&amp;K393,""),
IF(F393&lt;&gt;"",F393&amp;K393,""),
IF(G393&lt;&gt;"",G393&amp;K393,"")
))</f>
        <v/>
      </c>
      <c r="AA785">
        <f>IF(K393="","",IF(K393="TABLE","",K393))</f>
        <v/>
      </c>
      <c r="AB785">
        <f>IF(ISNUMBER(SEARCH("기존변경필요",SUBSTITUTE(TRIM(V393),CHAR(10)," "))),"",
IFERROR(
  _xlfn.XLOOKUP(AA393,'기존 end point'!B:B,'기존 end point'!B:B,,0),
""))</f>
        <v/>
      </c>
    </row>
    <row r="786" hidden="1">
      <c r="A786" t="n">
        <v>392</v>
      </c>
      <c r="B786" t="inlineStr">
        <is>
          <t>civil-nx/gen-nx</t>
        </is>
      </c>
      <c r="C786" t="inlineStr">
        <is>
          <t>Misc.</t>
        </is>
      </c>
      <c r="D786" t="inlineStr">
        <is>
          <t>Initial Forces</t>
        </is>
      </c>
      <c r="F786" t="inlineStr">
        <is>
          <t>Initial Element Forces</t>
        </is>
      </c>
      <c r="H786" t="inlineStr">
        <is>
          <t>db</t>
        </is>
      </c>
      <c r="I786" t="inlineStr">
        <is>
          <t>inmf</t>
        </is>
      </c>
      <c r="K786">
        <f>_xlfn.TEXTAFTER(L394,"/",-1)</f>
        <v/>
      </c>
      <c r="L786" t="inlineStr">
        <is>
          <t>/db/inmf</t>
        </is>
      </c>
      <c r="M786" t="inlineStr">
        <is>
          <t>Small Displacement - Initial Element Force</t>
        </is>
      </c>
      <c r="N786" t="inlineStr">
        <is>
          <t>done</t>
        </is>
      </c>
      <c r="O786" t="inlineStr">
        <is>
          <t>done</t>
        </is>
      </c>
      <c r="P786" t="inlineStr">
        <is>
          <t>done</t>
        </is>
      </c>
      <c r="Q786" t="inlineStr">
        <is>
          <t>done</t>
        </is>
      </c>
      <c r="R786" t="inlineStr">
        <is>
          <t>done</t>
        </is>
      </c>
      <c r="S786" t="inlineStr">
        <is>
          <t>done</t>
        </is>
      </c>
      <c r="T786" t="inlineStr">
        <is>
          <t>Done</t>
        </is>
      </c>
      <c r="Z786">
        <f>IF(OR(K394="",K394="TABLE"),"",
_xlfn.TEXTJOIN(", ",TRUE,
IF(E394&lt;&gt;"",E394&amp;K394,""),
IF(F394&lt;&gt;"",F394&amp;K394,""),
IF(G394&lt;&gt;"",G394&amp;K394,"")
))</f>
        <v/>
      </c>
      <c r="AA786">
        <f>IF(K394="","",IF(K394="TABLE","",K394))</f>
        <v/>
      </c>
      <c r="AB786">
        <f>IF(ISNUMBER(SEARCH("기존변경필요",SUBSTITUTE(TRIM(V394),CHAR(10)," "))),"",
IFERROR(
  _xlfn.XLOOKUP(AA394,'기존 end point'!B:B,'기존 end point'!B:B,,0),
""))</f>
        <v/>
      </c>
    </row>
    <row r="787" hidden="1">
      <c r="A787" t="n">
        <v>393</v>
      </c>
      <c r="B787" t="inlineStr">
        <is>
          <t>civil-nx/gen-nx</t>
        </is>
      </c>
      <c r="C787" t="inlineStr">
        <is>
          <t>Misc.</t>
        </is>
      </c>
      <c r="D787" t="inlineStr">
        <is>
          <t>Load Tables</t>
        </is>
      </c>
      <c r="E787" t="inlineStr">
        <is>
          <t>Etc. Load</t>
        </is>
      </c>
      <c r="F787" t="inlineStr">
        <is>
          <t>Ignore Elements for Load Cases</t>
        </is>
      </c>
      <c r="T787" t="inlineStr">
        <is>
          <t>none</t>
        </is>
      </c>
      <c r="Z787">
        <f>IF(OR(K395="",K395="TABLE"),"",
_xlfn.TEXTJOIN(", ",TRUE,
IF(E395&lt;&gt;"",E395&amp;K395,""),
IF(F395&lt;&gt;"",F395&amp;K395,""),
IF(G395&lt;&gt;"",G395&amp;K395,"")
))</f>
        <v/>
      </c>
      <c r="AA787">
        <f>IF(K395="","",IF(K395="TABLE","",K395))</f>
        <v/>
      </c>
      <c r="AB787">
        <f>IF(ISNUMBER(SEARCH("기존변경필요",SUBSTITUTE(TRIM(V395),CHAR(10)," "))),"",
IFERROR(
  _xlfn.XLOOKUP(AA395,'기존 end point'!B:B,'기존 end point'!B:B,,0),
""))</f>
        <v/>
      </c>
    </row>
    <row r="788" hidden="1">
      <c r="A788" t="n">
        <v>394</v>
      </c>
      <c r="B788" t="inlineStr">
        <is>
          <t>civil-nx/gen-nx</t>
        </is>
      </c>
      <c r="C788" t="inlineStr">
        <is>
          <t>Misc.</t>
        </is>
      </c>
      <c r="D788" t="inlineStr">
        <is>
          <t>Load Tables</t>
        </is>
      </c>
      <c r="E788" t="inlineStr">
        <is>
          <t>Initial Forces Geometric Stiff.</t>
        </is>
      </c>
      <c r="T788" t="inlineStr">
        <is>
          <t>none</t>
        </is>
      </c>
      <c r="Z788">
        <f>IF(OR(K396="",K396="TABLE"),"",
_xlfn.TEXTJOIN(", ",TRUE,
IF(E396&lt;&gt;"",E396&amp;K396,""),
IF(F396&lt;&gt;"",F396&amp;K396,""),
IF(G396&lt;&gt;"",G396&amp;K396,"")
))</f>
        <v/>
      </c>
      <c r="AA788">
        <f>IF(K396="","",IF(K396="TABLE","",K396))</f>
        <v/>
      </c>
      <c r="AB788">
        <f>IF(ISNUMBER(SEARCH("기존변경필요",SUBSTITUTE(TRIM(V396),CHAR(10)," "))),"",
IFERROR(
  _xlfn.XLOOKUP(AA396,'기존 end point'!B:B,'기존 end point'!B:B,,0),
""))</f>
        <v/>
      </c>
    </row>
    <row r="789" hidden="1">
      <c r="A789" t="n">
        <v>395</v>
      </c>
      <c r="B789" t="inlineStr">
        <is>
          <t>civil-nx/gen-nx</t>
        </is>
      </c>
      <c r="C789" t="inlineStr">
        <is>
          <t>Analysis</t>
        </is>
      </c>
      <c r="D789" t="inlineStr">
        <is>
          <t>Analysis Control</t>
        </is>
      </c>
      <c r="E789" t="inlineStr">
        <is>
          <t>Main Control Data</t>
        </is>
      </c>
      <c r="H789" t="inlineStr">
        <is>
          <t>db</t>
        </is>
      </c>
      <c r="I789" t="inlineStr">
        <is>
          <t>actl</t>
        </is>
      </c>
      <c r="K789">
        <f>_xlfn.TEXTAFTER(L397,"/",-1)</f>
        <v/>
      </c>
      <c r="L789" t="inlineStr">
        <is>
          <t>/db/actl</t>
        </is>
      </c>
      <c r="M789" t="inlineStr">
        <is>
          <t>Main Control Data</t>
        </is>
      </c>
      <c r="N789" t="inlineStr">
        <is>
          <t>done</t>
        </is>
      </c>
      <c r="O789" t="inlineStr">
        <is>
          <t>done</t>
        </is>
      </c>
      <c r="P789" t="inlineStr">
        <is>
          <t>done</t>
        </is>
      </c>
      <c r="Q789" t="inlineStr">
        <is>
          <t>done</t>
        </is>
      </c>
      <c r="R789" t="inlineStr">
        <is>
          <t>done</t>
        </is>
      </c>
      <c r="S789" t="inlineStr">
        <is>
          <t>done</t>
        </is>
      </c>
      <c r="T789" t="inlineStr">
        <is>
          <t>Done</t>
        </is>
      </c>
      <c r="Z789">
        <f>IF(OR(K397="",K397="TABLE"),"",
_xlfn.TEXTJOIN(", ",TRUE,
IF(E397&lt;&gt;"",E397&amp;K397,""),
IF(F397&lt;&gt;"",F397&amp;K397,""),
IF(G397&lt;&gt;"",G397&amp;K397,"")
))</f>
        <v/>
      </c>
      <c r="AA789">
        <f>IF(K397="","",IF(K397="TABLE","",K397))</f>
        <v/>
      </c>
      <c r="AB789">
        <f>IF(ISNUMBER(SEARCH("기존변경필요",SUBSTITUTE(TRIM(V397),CHAR(10)," "))),"",
IFERROR(
  _xlfn.XLOOKUP(AA397,'기존 end point'!B:B,'기존 end point'!B:B,,0),
""))</f>
        <v/>
      </c>
    </row>
    <row r="790" hidden="1">
      <c r="A790" s="26" t="n"/>
      <c r="B790" s="26" t="n"/>
      <c r="C790" s="26" t="inlineStr">
        <is>
          <t>DB_Static Loads</t>
        </is>
      </c>
      <c r="D790" s="26" t="inlineStr">
        <is>
          <t>DB_Static Loads</t>
        </is>
      </c>
      <c r="E790" s="26" t="n"/>
      <c r="F790" s="26" t="n"/>
      <c r="G790" s="26" t="n"/>
      <c r="H790" s="26" t="inlineStr">
        <is>
          <t>DB</t>
        </is>
      </c>
      <c r="I790" s="26" t="inlineStr">
        <is>
          <t>ARPR</t>
        </is>
      </c>
      <c r="J790" s="26" t="n"/>
      <c r="K790" s="26" t="n"/>
      <c r="L790" s="26" t="inlineStr">
        <is>
          <t>/DB/ARPR</t>
        </is>
      </c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inlineStr">
        <is>
          <t>DELETE, GET, POST, PUT</t>
        </is>
      </c>
      <c r="W790" s="26" t="n"/>
      <c r="X790" s="26" t="n"/>
    </row>
    <row r="791" hidden="1">
      <c r="A791" t="n">
        <v>396</v>
      </c>
      <c r="B791" t="inlineStr">
        <is>
          <t>civil-nx/gen-nx</t>
        </is>
      </c>
      <c r="C791" t="inlineStr">
        <is>
          <t>Analysis</t>
        </is>
      </c>
      <c r="D791" t="inlineStr">
        <is>
          <t>Analysis Control</t>
        </is>
      </c>
      <c r="E791" t="inlineStr">
        <is>
          <t>P-Delta</t>
        </is>
      </c>
      <c r="H791" t="inlineStr">
        <is>
          <t>db</t>
        </is>
      </c>
      <c r="I791" t="inlineStr">
        <is>
          <t>pdel</t>
        </is>
      </c>
      <c r="K791">
        <f>_xlfn.TEXTAFTER(L398,"/",-1)</f>
        <v/>
      </c>
      <c r="L791" t="inlineStr">
        <is>
          <t>/db/pdel</t>
        </is>
      </c>
      <c r="M791" t="inlineStr">
        <is>
          <t>P-Delta Analysis Control</t>
        </is>
      </c>
      <c r="N791" t="inlineStr">
        <is>
          <t>done</t>
        </is>
      </c>
      <c r="O791" t="inlineStr">
        <is>
          <t>done</t>
        </is>
      </c>
      <c r="P791" t="inlineStr">
        <is>
          <t>done</t>
        </is>
      </c>
      <c r="Q791" t="inlineStr">
        <is>
          <t>done</t>
        </is>
      </c>
      <c r="R791" t="inlineStr">
        <is>
          <t>done</t>
        </is>
      </c>
      <c r="S791" t="inlineStr">
        <is>
          <t>done</t>
        </is>
      </c>
      <c r="T791" t="inlineStr">
        <is>
          <t>Done</t>
        </is>
      </c>
      <c r="Z791">
        <f>IF(OR(K398="",K398="TABLE"),"",
_xlfn.TEXTJOIN(", ",TRUE,
IF(E398&lt;&gt;"",E398&amp;K398,""),
IF(F398&lt;&gt;"",F398&amp;K398,""),
IF(G398&lt;&gt;"",G398&amp;K398,"")
))</f>
        <v/>
      </c>
      <c r="AA791">
        <f>IF(K398="","",IF(K398="TABLE","",K398))</f>
        <v/>
      </c>
      <c r="AB791">
        <f>IF(ISNUMBER(SEARCH("기존변경필요",SUBSTITUTE(TRIM(V398),CHAR(10)," "))),"",
IFERROR(
  _xlfn.XLOOKUP(AA398,'기존 end point'!B:B,'기존 end point'!B:B,,0),
""))</f>
        <v/>
      </c>
    </row>
    <row r="792" hidden="1">
      <c r="A792" t="n">
        <v>397</v>
      </c>
      <c r="B792" t="inlineStr">
        <is>
          <t>civil-nx/gen-nx</t>
        </is>
      </c>
      <c r="C792" t="inlineStr">
        <is>
          <t>Analysis</t>
        </is>
      </c>
      <c r="D792" t="inlineStr">
        <is>
          <t>Analysis Control</t>
        </is>
      </c>
      <c r="E792" t="inlineStr">
        <is>
          <t>Buckling</t>
        </is>
      </c>
      <c r="H792" t="inlineStr">
        <is>
          <t>db</t>
        </is>
      </c>
      <c r="I792" t="inlineStr">
        <is>
          <t>buck</t>
        </is>
      </c>
      <c r="K792">
        <f>_xlfn.TEXTAFTER(L399,"/",-1)</f>
        <v/>
      </c>
      <c r="L792" t="inlineStr">
        <is>
          <t>/db/buck</t>
        </is>
      </c>
      <c r="M792" t="inlineStr">
        <is>
          <t>Buckling Analysis Control</t>
        </is>
      </c>
      <c r="N792" t="inlineStr">
        <is>
          <t>done</t>
        </is>
      </c>
      <c r="O792" t="inlineStr">
        <is>
          <t>done</t>
        </is>
      </c>
      <c r="P792" t="inlineStr">
        <is>
          <t>done</t>
        </is>
      </c>
      <c r="Q792" t="inlineStr">
        <is>
          <t>done</t>
        </is>
      </c>
      <c r="R792" t="inlineStr">
        <is>
          <t>done</t>
        </is>
      </c>
      <c r="S792" t="inlineStr">
        <is>
          <t>done</t>
        </is>
      </c>
      <c r="T792" t="inlineStr">
        <is>
          <t>Done</t>
        </is>
      </c>
      <c r="Z792">
        <f>IF(OR(K399="",K399="TABLE"),"",
_xlfn.TEXTJOIN(", ",TRUE,
IF(E399&lt;&gt;"",E399&amp;K399,""),
IF(F399&lt;&gt;"",F399&amp;K399,""),
IF(G399&lt;&gt;"",G399&amp;K399,"")
))</f>
        <v/>
      </c>
      <c r="AA792">
        <f>IF(K399="","",IF(K399="TABLE","",K399))</f>
        <v/>
      </c>
      <c r="AB792">
        <f>IF(ISNUMBER(SEARCH("기존변경필요",SUBSTITUTE(TRIM(V399),CHAR(10)," "))),"",
IFERROR(
  _xlfn.XLOOKUP(AA399,'기존 end point'!B:B,'기존 end point'!B:B,,0),
""))</f>
        <v/>
      </c>
    </row>
    <row r="793" hidden="1">
      <c r="A793" t="n">
        <v>398</v>
      </c>
      <c r="B793" t="inlineStr">
        <is>
          <t>civil-nx/gen-nx</t>
        </is>
      </c>
      <c r="C793" t="inlineStr">
        <is>
          <t>Analysis</t>
        </is>
      </c>
      <c r="D793" t="inlineStr">
        <is>
          <t>Analysis Control</t>
        </is>
      </c>
      <c r="E793" t="inlineStr">
        <is>
          <t>Eigenvalue</t>
        </is>
      </c>
      <c r="H793" t="inlineStr">
        <is>
          <t>db</t>
        </is>
      </c>
      <c r="I793" t="inlineStr">
        <is>
          <t>eigv</t>
        </is>
      </c>
      <c r="K793">
        <f>_xlfn.TEXTAFTER(L400,"/",-1)</f>
        <v/>
      </c>
      <c r="L793" t="inlineStr">
        <is>
          <t>/db/eigv</t>
        </is>
      </c>
      <c r="M793" t="inlineStr">
        <is>
          <t>Eigenvalue Analysis Control</t>
        </is>
      </c>
      <c r="N793" t="inlineStr">
        <is>
          <t>done</t>
        </is>
      </c>
      <c r="O793" t="inlineStr">
        <is>
          <t>done</t>
        </is>
      </c>
      <c r="P793" t="inlineStr">
        <is>
          <t>done</t>
        </is>
      </c>
      <c r="Q793" t="inlineStr">
        <is>
          <t>done</t>
        </is>
      </c>
      <c r="R793" t="inlineStr">
        <is>
          <t>done</t>
        </is>
      </c>
      <c r="S793" t="inlineStr">
        <is>
          <t>done</t>
        </is>
      </c>
      <c r="T793" t="inlineStr">
        <is>
          <t>Done</t>
        </is>
      </c>
      <c r="Z793">
        <f>IF(OR(K400="",K400="TABLE"),"",
_xlfn.TEXTJOIN(", ",TRUE,
IF(E400&lt;&gt;"",E400&amp;K400,""),
IF(F400&lt;&gt;"",F400&amp;K400,""),
IF(G400&lt;&gt;"",G400&amp;K400,"")
))</f>
        <v/>
      </c>
      <c r="AA793">
        <f>IF(K400="","",IF(K400="TABLE","",K400))</f>
        <v/>
      </c>
      <c r="AB793">
        <f>IF(ISNUMBER(SEARCH("기존변경필요",SUBSTITUTE(TRIM(V400),CHAR(10)," "))),"",
IFERROR(
  _xlfn.XLOOKUP(AA400,'기존 end point'!B:B,'기존 end point'!B:B,,0),
""))</f>
        <v/>
      </c>
    </row>
    <row r="794" hidden="1">
      <c r="A794" t="n">
        <v>399</v>
      </c>
      <c r="B794" t="inlineStr">
        <is>
          <t>civil-nx/gen-nx</t>
        </is>
      </c>
      <c r="C794" t="inlineStr">
        <is>
          <t>Analysis</t>
        </is>
      </c>
      <c r="D794" t="inlineStr">
        <is>
          <t>Analysis Control</t>
        </is>
      </c>
      <c r="E794" t="inlineStr">
        <is>
          <t>Heat of Hydration</t>
        </is>
      </c>
      <c r="H794" t="inlineStr">
        <is>
          <t>db</t>
        </is>
      </c>
      <c r="I794" t="inlineStr">
        <is>
          <t>hhct</t>
        </is>
      </c>
      <c r="K794">
        <f>_xlfn.TEXTAFTER(L401,"/",-1)</f>
        <v/>
      </c>
      <c r="L794" t="inlineStr">
        <is>
          <t>/db/hhct</t>
        </is>
      </c>
      <c r="M794" t="inlineStr">
        <is>
          <t>Heat of Hydration Analysis Control</t>
        </is>
      </c>
      <c r="N794" t="inlineStr">
        <is>
          <t>done</t>
        </is>
      </c>
      <c r="O794" t="inlineStr">
        <is>
          <t>done</t>
        </is>
      </c>
      <c r="P794" t="inlineStr">
        <is>
          <t>done</t>
        </is>
      </c>
      <c r="Q794" t="inlineStr">
        <is>
          <t>done</t>
        </is>
      </c>
      <c r="R794" t="inlineStr">
        <is>
          <t>done</t>
        </is>
      </c>
      <c r="S794" t="inlineStr">
        <is>
          <t>done</t>
        </is>
      </c>
      <c r="T794" t="inlineStr">
        <is>
          <t>Done</t>
        </is>
      </c>
      <c r="Z794">
        <f>IF(OR(K401="",K401="TABLE"),"",
_xlfn.TEXTJOIN(", ",TRUE,
IF(E401&lt;&gt;"",E401&amp;K401,""),
IF(F401&lt;&gt;"",F401&amp;K401,""),
IF(G401&lt;&gt;"",G401&amp;K401,"")
))</f>
        <v/>
      </c>
      <c r="AA794">
        <f>IF(K401="","",IF(K401="TABLE","",K401))</f>
        <v/>
      </c>
      <c r="AB794">
        <f>IF(ISNUMBER(SEARCH("기존변경필요",SUBSTITUTE(TRIM(V401),CHAR(10)," "))),"",
IFERROR(
  _xlfn.XLOOKUP(AA401,'기존 end point'!B:B,'기존 end point'!B:B,,0),
""))</f>
        <v/>
      </c>
    </row>
    <row r="795" hidden="1">
      <c r="A795" t="n">
        <v>400</v>
      </c>
      <c r="B795" t="inlineStr">
        <is>
          <t>civil-nx/gen-nx</t>
        </is>
      </c>
      <c r="C795" t="inlineStr">
        <is>
          <t>Analysis</t>
        </is>
      </c>
      <c r="D795" t="inlineStr">
        <is>
          <t>Analysis Control</t>
        </is>
      </c>
      <c r="E795" t="inlineStr">
        <is>
          <t>Moving Load</t>
        </is>
      </c>
      <c r="H795" t="inlineStr">
        <is>
          <t>db</t>
        </is>
      </c>
      <c r="I795" t="inlineStr">
        <is>
          <t>mvct</t>
        </is>
      </c>
      <c r="K795">
        <f>_xlfn.TEXTAFTER(L402,"/",-1)</f>
        <v/>
      </c>
      <c r="L795" t="inlineStr">
        <is>
          <t>/db/mvct</t>
        </is>
      </c>
      <c r="M795" t="inlineStr">
        <is>
          <t>Moving Load Analysis Control</t>
        </is>
      </c>
      <c r="N795" t="inlineStr">
        <is>
          <t>done</t>
        </is>
      </c>
      <c r="O795" t="inlineStr">
        <is>
          <t>done</t>
        </is>
      </c>
      <c r="P795" t="inlineStr">
        <is>
          <t>done</t>
        </is>
      </c>
      <c r="Q795" t="inlineStr">
        <is>
          <t>done</t>
        </is>
      </c>
      <c r="R795" t="inlineStr">
        <is>
          <t>done</t>
        </is>
      </c>
      <c r="S795" t="inlineStr">
        <is>
          <t>done</t>
        </is>
      </c>
      <c r="T795" t="inlineStr">
        <is>
          <t>Done</t>
        </is>
      </c>
      <c r="Z795">
        <f>IF(OR(K402="",K402="TABLE"),"",
_xlfn.TEXTJOIN(", ",TRUE,
IF(E402&lt;&gt;"",E402&amp;K402,""),
IF(F402&lt;&gt;"",F402&amp;K402,""),
IF(G402&lt;&gt;"",G402&amp;K402,"")
))</f>
        <v/>
      </c>
      <c r="AA795">
        <f>IF(K402="","",IF(K402="TABLE","",K402))</f>
        <v/>
      </c>
      <c r="AB795">
        <f>IF(ISNUMBER(SEARCH("기존변경필요",SUBSTITUTE(TRIM(V402),CHAR(10)," "))),"",
IFERROR(
  _xlfn.XLOOKUP(AA402,'기존 end point'!B:B,'기존 end point'!B:B,,0),
""))</f>
        <v/>
      </c>
    </row>
    <row r="796" hidden="1">
      <c r="A796" s="26" t="n"/>
      <c r="B796" s="26" t="n"/>
      <c r="C796" s="26" t="inlineStr">
        <is>
          <t>DB_Analysis</t>
        </is>
      </c>
      <c r="D796" s="26" t="inlineStr">
        <is>
          <t>DB_Analysis</t>
        </is>
      </c>
      <c r="E796" s="26" t="inlineStr">
        <is>
          <t>Moving Load Analysis Control - China</t>
        </is>
      </c>
      <c r="F796" s="26" t="n"/>
      <c r="G796" s="26" t="n"/>
      <c r="H796" s="26" t="inlineStr">
        <is>
          <t>DB</t>
        </is>
      </c>
      <c r="I796" s="26" t="inlineStr">
        <is>
          <t>MVCTCH</t>
        </is>
      </c>
      <c r="J796" s="26" t="n"/>
      <c r="K796" s="26" t="n"/>
      <c r="L796" s="26" t="inlineStr">
        <is>
          <t>/DB/MVCTCH</t>
        </is>
      </c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inlineStr">
        <is>
          <t>DELETE, GET, POST, PUT</t>
        </is>
      </c>
      <c r="W796" s="26" t="n"/>
      <c r="X796" s="26" t="n"/>
    </row>
    <row r="797" hidden="1">
      <c r="A797" s="26" t="n"/>
      <c r="B797" s="26" t="n"/>
      <c r="C797" s="26" t="inlineStr">
        <is>
          <t>DB_Analysis</t>
        </is>
      </c>
      <c r="D797" s="26" t="inlineStr">
        <is>
          <t>DB_Analysis</t>
        </is>
      </c>
      <c r="E797" s="26" t="inlineStr">
        <is>
          <t>Moving Load Analysis Control - India</t>
        </is>
      </c>
      <c r="F797" s="26" t="n"/>
      <c r="G797" s="26" t="n"/>
      <c r="H797" s="26" t="inlineStr">
        <is>
          <t>DB</t>
        </is>
      </c>
      <c r="I797" s="26" t="inlineStr">
        <is>
          <t>MVCTID</t>
        </is>
      </c>
      <c r="J797" s="26" t="n"/>
      <c r="K797" s="26" t="n"/>
      <c r="L797" s="26" t="inlineStr">
        <is>
          <t>/DB/MVCTID</t>
        </is>
      </c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inlineStr">
        <is>
          <t>DELETE, GET, POST, PUT</t>
        </is>
      </c>
      <c r="W797" s="26" t="n"/>
      <c r="X797" s="26" t="n"/>
    </row>
    <row r="798" hidden="1">
      <c r="A798" s="26" t="n"/>
      <c r="B798" s="26" t="n"/>
      <c r="C798" s="26" t="inlineStr">
        <is>
          <t>DB_Analysis</t>
        </is>
      </c>
      <c r="D798" s="26" t="inlineStr">
        <is>
          <t>DB_Analysis</t>
        </is>
      </c>
      <c r="E798" s="26" t="inlineStr">
        <is>
          <t>Moving Load Analysis Control - BS</t>
        </is>
      </c>
      <c r="F798" s="26" t="n"/>
      <c r="G798" s="26" t="n"/>
      <c r="H798" s="26" t="inlineStr">
        <is>
          <t>DB</t>
        </is>
      </c>
      <c r="I798" s="26" t="inlineStr">
        <is>
          <t>MVCTBS</t>
        </is>
      </c>
      <c r="J798" s="26" t="n"/>
      <c r="K798" s="26" t="n"/>
      <c r="L798" s="26" t="inlineStr">
        <is>
          <t>/DB/MVCTBS</t>
        </is>
      </c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inlineStr">
        <is>
          <t>DELETE, GET, POST, PUT</t>
        </is>
      </c>
      <c r="W798" s="26" t="n"/>
      <c r="X798" s="26" t="n"/>
    </row>
    <row r="799">
      <c r="A799" s="26" t="n"/>
      <c r="B799" s="26" t="n"/>
      <c r="C799" s="26" t="inlineStr">
        <is>
          <t>DB_Analysis</t>
        </is>
      </c>
      <c r="D799" s="26" t="inlineStr">
        <is>
          <t>DB_Analysis</t>
        </is>
      </c>
      <c r="E799" s="26" t="inlineStr">
        <is>
          <t>Moving Load Analysis Control - Transverse</t>
        </is>
      </c>
      <c r="F799" s="26" t="n"/>
      <c r="G799" s="26" t="n"/>
      <c r="H799" s="26" t="inlineStr">
        <is>
          <t>DB</t>
        </is>
      </c>
      <c r="I799" s="26" t="inlineStr">
        <is>
          <t>MVCTTR</t>
        </is>
      </c>
      <c r="J799" s="26" t="n"/>
      <c r="K799" s="26" t="n"/>
      <c r="L799" s="26" t="inlineStr">
        <is>
          <t>/DB/MVCTTR</t>
        </is>
      </c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inlineStr">
        <is>
          <t>DELETE, GET, POST, PUT</t>
        </is>
      </c>
      <c r="W799" s="26" t="n"/>
      <c r="X799" s="26" t="n"/>
    </row>
    <row r="800">
      <c r="A800" t="n">
        <v>401</v>
      </c>
      <c r="B800" t="inlineStr">
        <is>
          <t>civil-nx/gen-nx</t>
        </is>
      </c>
      <c r="C800" t="inlineStr">
        <is>
          <t>Analysis</t>
        </is>
      </c>
      <c r="D800" t="inlineStr">
        <is>
          <t>Analysis Control</t>
        </is>
      </c>
      <c r="E800" t="inlineStr">
        <is>
          <t>Settlement</t>
        </is>
      </c>
      <c r="H800" t="inlineStr">
        <is>
          <t>db</t>
        </is>
      </c>
      <c r="I800" t="inlineStr">
        <is>
          <t>smct</t>
        </is>
      </c>
      <c r="K800">
        <f>_xlfn.TEXTAFTER(L403,"/",-1)</f>
        <v/>
      </c>
      <c r="L800" t="inlineStr">
        <is>
          <t>/db/smct</t>
        </is>
      </c>
      <c r="M800" t="inlineStr">
        <is>
          <t>Settlement Analysis Control Data</t>
        </is>
      </c>
      <c r="N800" t="inlineStr">
        <is>
          <t>done</t>
        </is>
      </c>
      <c r="O800" t="inlineStr">
        <is>
          <t>done</t>
        </is>
      </c>
      <c r="P800" t="inlineStr">
        <is>
          <t>done</t>
        </is>
      </c>
      <c r="Q800" t="inlineStr">
        <is>
          <t>done</t>
        </is>
      </c>
      <c r="R800" t="inlineStr">
        <is>
          <t>done</t>
        </is>
      </c>
      <c r="S800" t="inlineStr">
        <is>
          <t>done</t>
        </is>
      </c>
      <c r="T800" t="inlineStr">
        <is>
          <t>Done</t>
        </is>
      </c>
      <c r="Z800">
        <f>IF(OR(K403="",K403="TABLE"),"",
_xlfn.TEXTJOIN(", ",TRUE,
IF(E403&lt;&gt;"",E403&amp;K403,""),
IF(F403&lt;&gt;"",F403&amp;K403,""),
IF(G403&lt;&gt;"",G403&amp;K403,"")
))</f>
        <v/>
      </c>
      <c r="AA800">
        <f>IF(K403="","",IF(K403="TABLE","",K403))</f>
        <v/>
      </c>
      <c r="AB800">
        <f>IF(ISNUMBER(SEARCH("기존변경필요",SUBSTITUTE(TRIM(V403),CHAR(10)," "))),"",
IFERROR(
  _xlfn.XLOOKUP(AA403,'기존 end point'!B:B,'기존 end point'!B:B,,0),
""))</f>
        <v/>
      </c>
    </row>
    <row r="801">
      <c r="A801" t="n">
        <v>402</v>
      </c>
      <c r="B801" t="inlineStr">
        <is>
          <t>civil-nx/gen-nx</t>
        </is>
      </c>
      <c r="C801" t="inlineStr">
        <is>
          <t>Analysis</t>
        </is>
      </c>
      <c r="D801" t="inlineStr">
        <is>
          <t>Analysis Control</t>
        </is>
      </c>
      <c r="E801" t="inlineStr">
        <is>
          <t>Nonlinear</t>
        </is>
      </c>
      <c r="H801" t="inlineStr">
        <is>
          <t>db</t>
        </is>
      </c>
      <c r="I801" t="inlineStr">
        <is>
          <t>nlct</t>
        </is>
      </c>
      <c r="K801">
        <f>_xlfn.TEXTAFTER(L404,"/",-1)</f>
        <v/>
      </c>
      <c r="L801" t="inlineStr">
        <is>
          <t>/db/nlct</t>
        </is>
      </c>
      <c r="M801" t="inlineStr">
        <is>
          <t>Nonlinear Analysis Control Data</t>
        </is>
      </c>
      <c r="N801" t="inlineStr">
        <is>
          <t>done</t>
        </is>
      </c>
      <c r="O801" t="inlineStr">
        <is>
          <t>done</t>
        </is>
      </c>
      <c r="P801" t="inlineStr">
        <is>
          <t>done</t>
        </is>
      </c>
      <c r="Q801" t="inlineStr">
        <is>
          <t>done</t>
        </is>
      </c>
      <c r="R801" t="inlineStr">
        <is>
          <t>done</t>
        </is>
      </c>
      <c r="S801" t="inlineStr">
        <is>
          <t>done</t>
        </is>
      </c>
      <c r="T801" t="inlineStr">
        <is>
          <t>Done</t>
        </is>
      </c>
      <c r="Z801">
        <f>IF(OR(K404="",K404="TABLE"),"",
_xlfn.TEXTJOIN(", ",TRUE,
IF(E404&lt;&gt;"",E404&amp;K404,""),
IF(F404&lt;&gt;"",F404&amp;K404,""),
IF(G404&lt;&gt;"",G404&amp;K404,"")
))</f>
        <v/>
      </c>
      <c r="AA801">
        <f>IF(K404="","",IF(K404="TABLE","",K404))</f>
        <v/>
      </c>
      <c r="AB801">
        <f>IF(ISNUMBER(SEARCH("기존변경필요",SUBSTITUTE(TRIM(V404),CHAR(10)," "))),"",
IFERROR(
  _xlfn.XLOOKUP(AA404,'기존 end point'!B:B,'기존 end point'!B:B,,0),
""))</f>
        <v/>
      </c>
    </row>
    <row r="802">
      <c r="A802" t="n">
        <v>403</v>
      </c>
      <c r="B802" t="inlineStr">
        <is>
          <t>civil-nx/gen-nx</t>
        </is>
      </c>
      <c r="C802" t="inlineStr">
        <is>
          <t>Analysis</t>
        </is>
      </c>
      <c r="D802" t="inlineStr">
        <is>
          <t>Analysis Control</t>
        </is>
      </c>
      <c r="E802" t="inlineStr">
        <is>
          <t>Construction Stage</t>
        </is>
      </c>
      <c r="H802" t="inlineStr">
        <is>
          <t>db</t>
        </is>
      </c>
      <c r="I802" t="inlineStr">
        <is>
          <t>stct</t>
        </is>
      </c>
      <c r="K802">
        <f>_xlfn.TEXTAFTER(L405,"/",-1)</f>
        <v/>
      </c>
      <c r="L802" t="inlineStr">
        <is>
          <t>/db/stct</t>
        </is>
      </c>
      <c r="M802" t="inlineStr">
        <is>
          <t>Construction Stage Analysis Control Data</t>
        </is>
      </c>
      <c r="N802" t="inlineStr">
        <is>
          <t>done</t>
        </is>
      </c>
      <c r="O802" t="inlineStr">
        <is>
          <t>done</t>
        </is>
      </c>
      <c r="P802" t="inlineStr">
        <is>
          <t>done</t>
        </is>
      </c>
      <c r="Q802" t="inlineStr">
        <is>
          <t>done</t>
        </is>
      </c>
      <c r="R802" t="inlineStr">
        <is>
          <t>done</t>
        </is>
      </c>
      <c r="S802" t="inlineStr">
        <is>
          <t>done</t>
        </is>
      </c>
      <c r="T802" t="inlineStr">
        <is>
          <t>Done</t>
        </is>
      </c>
      <c r="Z802">
        <f>IF(OR(K405="",K405="TABLE"),"",
_xlfn.TEXTJOIN(", ",TRUE,
IF(E405&lt;&gt;"",E405&amp;K405,""),
IF(F405&lt;&gt;"",F405&amp;K405,""),
IF(G405&lt;&gt;"",G405&amp;K405,"")
))</f>
        <v/>
      </c>
      <c r="AA802">
        <f>IF(K405="","",IF(K405="TABLE","",K405))</f>
        <v/>
      </c>
      <c r="AB802">
        <f>IF(ISNUMBER(SEARCH("기존변경필요",SUBSTITUTE(TRIM(V405),CHAR(10)," "))),"",
IFERROR(
  _xlfn.XLOOKUP(AA405,'기존 end point'!B:B,'기존 end point'!B:B,,0),
""))</f>
        <v/>
      </c>
    </row>
    <row r="803" hidden="1">
      <c r="A803" t="n">
        <v>404</v>
      </c>
      <c r="B803" t="inlineStr">
        <is>
          <t>civil-nx/gen-nx</t>
        </is>
      </c>
      <c r="C803" t="inlineStr">
        <is>
          <t>Analysis</t>
        </is>
      </c>
      <c r="D803" t="inlineStr">
        <is>
          <t>Analysis Control</t>
        </is>
      </c>
      <c r="E803" t="inlineStr">
        <is>
          <t>Boundary Change Assignment</t>
        </is>
      </c>
      <c r="H803" t="inlineStr">
        <is>
          <t>db</t>
        </is>
      </c>
      <c r="I803" t="inlineStr">
        <is>
          <t>bcct</t>
        </is>
      </c>
      <c r="K803">
        <f>_xlfn.TEXTAFTER(L406,"/",-1)</f>
        <v/>
      </c>
      <c r="L803" t="inlineStr">
        <is>
          <t>/db/bcct</t>
        </is>
      </c>
      <c r="M803" t="inlineStr">
        <is>
          <t>Boundary Change Assignment</t>
        </is>
      </c>
      <c r="N803" t="inlineStr">
        <is>
          <t>done</t>
        </is>
      </c>
      <c r="O803" t="inlineStr">
        <is>
          <t>done</t>
        </is>
      </c>
      <c r="P803" t="inlineStr">
        <is>
          <t>done</t>
        </is>
      </c>
      <c r="Q803" t="inlineStr">
        <is>
          <t>done</t>
        </is>
      </c>
      <c r="R803" t="inlineStr">
        <is>
          <t>done</t>
        </is>
      </c>
      <c r="S803" t="inlineStr">
        <is>
          <t>done</t>
        </is>
      </c>
      <c r="T803" t="inlineStr">
        <is>
          <t>Done</t>
        </is>
      </c>
      <c r="Z803">
        <f>IF(OR(K406="",K406="TABLE"),"",
_xlfn.TEXTJOIN(", ",TRUE,
IF(E406&lt;&gt;"",E406&amp;K406,""),
IF(F406&lt;&gt;"",F406&amp;K406,""),
IF(G406&lt;&gt;"",G406&amp;K406,"")
))</f>
        <v/>
      </c>
      <c r="AA803">
        <f>IF(K406="","",IF(K406="TABLE","",K406))</f>
        <v/>
      </c>
      <c r="AB803">
        <f>IF(ISNUMBER(SEARCH("기존변경필요",SUBSTITUTE(TRIM(V406),CHAR(10)," "))),"",
IFERROR(
  _xlfn.XLOOKUP(AA406,'기존 end point'!B:B,'기존 end point'!B:B,,0),
""))</f>
        <v/>
      </c>
    </row>
    <row r="804">
      <c r="A804" s="26" t="n"/>
      <c r="B804" s="26" t="n"/>
      <c r="C804" s="26" t="inlineStr">
        <is>
          <t>DB_Analysis Results</t>
        </is>
      </c>
      <c r="D804" s="26" t="inlineStr">
        <is>
          <t>DB_Analysis Results</t>
        </is>
      </c>
      <c r="E804" s="26" t="n"/>
      <c r="F804" s="26" t="n"/>
      <c r="G804" s="26" t="n"/>
      <c r="H804" s="26" t="inlineStr">
        <is>
          <t>DB</t>
        </is>
      </c>
      <c r="I804" s="26" t="inlineStr">
        <is>
          <t>LCOM-ALUM</t>
        </is>
      </c>
      <c r="J804" s="26" t="n"/>
      <c r="K804" s="26" t="n"/>
      <c r="L804" s="26" t="inlineStr">
        <is>
          <t>/DB/LCOM-ALUM</t>
        </is>
      </c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inlineStr">
        <is>
          <t>DELETE, GET, POST, PUT</t>
        </is>
      </c>
      <c r="W804" s="26" t="n"/>
      <c r="X804" s="26" t="n"/>
    </row>
    <row r="805">
      <c r="A805" s="26" t="n"/>
      <c r="B805" s="26" t="n"/>
      <c r="C805" s="26" t="inlineStr">
        <is>
          <t>DB_Analysis Results</t>
        </is>
      </c>
      <c r="D805" s="26" t="inlineStr">
        <is>
          <t>DB_Analysis Results</t>
        </is>
      </c>
      <c r="E805" s="26" t="n"/>
      <c r="F805" s="26" t="n"/>
      <c r="G805" s="26" t="n"/>
      <c r="H805" s="26" t="inlineStr">
        <is>
          <t>DB</t>
        </is>
      </c>
      <c r="I805" s="26" t="inlineStr">
        <is>
          <t>LCOM-CFSTEEL</t>
        </is>
      </c>
      <c r="J805" s="26" t="n"/>
      <c r="K805" s="26" t="n"/>
      <c r="L805" s="26" t="inlineStr">
        <is>
          <t>/DB/LCOM-CFSTEEL</t>
        </is>
      </c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inlineStr">
        <is>
          <t>DELETE, GET, POST, PUT</t>
        </is>
      </c>
      <c r="W805" s="26" t="n"/>
      <c r="X805" s="26" t="n"/>
    </row>
    <row r="806" hidden="1">
      <c r="A806" t="n">
        <v>405</v>
      </c>
      <c r="B806" t="inlineStr">
        <is>
          <t>gen-nx</t>
        </is>
      </c>
      <c r="C806" t="inlineStr">
        <is>
          <t>Analysis</t>
        </is>
      </c>
      <c r="D806" t="inlineStr">
        <is>
          <t>Analysis Control</t>
        </is>
      </c>
      <c r="E806" t="inlineStr">
        <is>
          <t>Design Analysis Control</t>
        </is>
      </c>
      <c r="T806" t="inlineStr">
        <is>
          <t>none</t>
        </is>
      </c>
      <c r="Z806">
        <f>IF(OR(K407="",K407="TABLE"),"",
_xlfn.TEXTJOIN(", ",TRUE,
IF(E407&lt;&gt;"",E407&amp;K407,""),
IF(F407&lt;&gt;"",F407&amp;K407,""),
IF(G407&lt;&gt;"",G407&amp;K407,"")
))</f>
        <v/>
      </c>
      <c r="AA806">
        <f>IF(K407="","",IF(K407="TABLE","",K407))</f>
        <v/>
      </c>
      <c r="AB806">
        <f>IF(ISNUMBER(SEARCH("기존변경필요",SUBSTITUTE(TRIM(V407),CHAR(10)," "))),"",
IFERROR(
  _xlfn.XLOOKUP(AA407,'기존 end point'!B:B,'기존 end point'!B:B,,0),
""))</f>
        <v/>
      </c>
    </row>
    <row r="807">
      <c r="A807" t="n">
        <v>406</v>
      </c>
      <c r="B807" t="inlineStr">
        <is>
          <t>civil-nx/gen-nx</t>
        </is>
      </c>
      <c r="C807" t="inlineStr">
        <is>
          <t>Analysis</t>
        </is>
      </c>
      <c r="D807" t="inlineStr">
        <is>
          <t>Perform</t>
        </is>
      </c>
      <c r="E807" t="inlineStr">
        <is>
          <t>Perform Analysis</t>
        </is>
      </c>
      <c r="H807" t="inlineStr">
        <is>
          <t>doc</t>
        </is>
      </c>
      <c r="I807" t="inlineStr">
        <is>
          <t>anal</t>
        </is>
      </c>
      <c r="K807">
        <f>_xlfn.TEXTAFTER(L408,"/",-1)</f>
        <v/>
      </c>
      <c r="L807" t="inlineStr">
        <is>
          <t>/doc/anal</t>
        </is>
      </c>
      <c r="N807" t="inlineStr">
        <is>
          <t>done</t>
        </is>
      </c>
      <c r="O807" t="inlineStr">
        <is>
          <t>done</t>
        </is>
      </c>
      <c r="P807" t="inlineStr">
        <is>
          <t>done</t>
        </is>
      </c>
      <c r="Q807" t="inlineStr">
        <is>
          <t>done</t>
        </is>
      </c>
      <c r="R807" t="inlineStr">
        <is>
          <t>done</t>
        </is>
      </c>
      <c r="S807" t="inlineStr">
        <is>
          <t>done</t>
        </is>
      </c>
      <c r="T807" t="inlineStr">
        <is>
          <t>Done</t>
        </is>
      </c>
      <c r="Z807">
        <f>IF(OR(K408="",K408="TABLE"),"",
_xlfn.TEXTJOIN(", ",TRUE,
IF(E408&lt;&gt;"",E408&amp;K408,""),
IF(F408&lt;&gt;"",F408&amp;K408,""),
IF(G408&lt;&gt;"",G408&amp;K408,"")
))</f>
        <v/>
      </c>
      <c r="AA807">
        <f>IF(K408="","",IF(K408="TABLE","",K408))</f>
        <v/>
      </c>
      <c r="AB807">
        <f>IF(ISNUMBER(SEARCH("기존변경필요",SUBSTITUTE(TRIM(V408),CHAR(10)," "))),"",
IFERROR(
  _xlfn.XLOOKUP(AA408,'기존 end point'!B:B,'기존 end point'!B:B,,0),
""))</f>
        <v/>
      </c>
    </row>
    <row r="808">
      <c r="A808" s="26" t="n"/>
      <c r="B808" s="26" t="n"/>
      <c r="C808" s="26" t="inlineStr">
        <is>
          <t>DOC</t>
        </is>
      </c>
      <c r="D808" s="26" t="inlineStr">
        <is>
          <t>DOC</t>
        </is>
      </c>
      <c r="E808" s="26" t="n"/>
      <c r="F808" s="26" t="n"/>
      <c r="G808" s="26" t="n"/>
      <c r="H808" s="26" t="inlineStr">
        <is>
          <t>DOC</t>
        </is>
      </c>
      <c r="I808" s="26" t="inlineStr">
        <is>
          <t>EXIT</t>
        </is>
      </c>
      <c r="J808" s="26" t="n"/>
      <c r="K808" s="26" t="n"/>
      <c r="L808" s="26" t="inlineStr">
        <is>
          <t>/DOC/EXIT</t>
        </is>
      </c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inlineStr">
        <is>
          <t>POST</t>
        </is>
      </c>
      <c r="W808" s="26" t="n"/>
      <c r="X808" s="26" t="n"/>
    </row>
    <row r="809">
      <c r="A809" s="26" t="n"/>
      <c r="B809" s="26" t="n"/>
      <c r="C809" s="26" t="inlineStr">
        <is>
          <t>DB_Project</t>
        </is>
      </c>
      <c r="D809" s="26" t="inlineStr">
        <is>
          <t>DB_Project</t>
        </is>
      </c>
      <c r="E809" s="26" t="inlineStr">
        <is>
          <t>Project Information</t>
        </is>
      </c>
      <c r="F809" s="26" t="n"/>
      <c r="G809" s="26" t="n"/>
      <c r="H809" s="26" t="inlineStr">
        <is>
          <t>DB</t>
        </is>
      </c>
      <c r="I809" s="26" t="inlineStr">
        <is>
          <t>PJCF</t>
        </is>
      </c>
      <c r="J809" s="26" t="n"/>
      <c r="K809" s="26" t="n"/>
      <c r="L809" s="26" t="inlineStr">
        <is>
          <t>/DB/PJCF</t>
        </is>
      </c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inlineStr">
        <is>
          <t>DELETE, GET, POST, PUT</t>
        </is>
      </c>
      <c r="W809" s="26" t="n"/>
      <c r="X809" s="26" t="n"/>
    </row>
    <row r="810">
      <c r="A810" s="26" t="n"/>
      <c r="B810" s="26" t="n"/>
      <c r="C810" s="26" t="inlineStr">
        <is>
          <t>DB_Project</t>
        </is>
      </c>
      <c r="D810" s="26" t="inlineStr">
        <is>
          <t>DB_Project</t>
        </is>
      </c>
      <c r="E810" s="26" t="inlineStr">
        <is>
          <t>Unit System</t>
        </is>
      </c>
      <c r="F810" s="26" t="n"/>
      <c r="G810" s="26" t="n"/>
      <c r="H810" s="26" t="inlineStr">
        <is>
          <t>DB</t>
        </is>
      </c>
      <c r="I810" s="26" t="inlineStr">
        <is>
          <t>UNIT</t>
        </is>
      </c>
      <c r="J810" s="26" t="n"/>
      <c r="K810" s="26" t="n"/>
      <c r="L810" s="26" t="inlineStr">
        <is>
          <t>/DB/UNIT</t>
        </is>
      </c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inlineStr">
        <is>
          <t>GET, PUT</t>
        </is>
      </c>
      <c r="W810" s="26" t="n"/>
      <c r="X810" s="26" t="n"/>
    </row>
    <row r="811">
      <c r="A811" t="n">
        <v>407</v>
      </c>
      <c r="B811" t="inlineStr">
        <is>
          <t>civil-nx/gen-nx</t>
        </is>
      </c>
      <c r="C811" t="inlineStr">
        <is>
          <t>Analysis</t>
        </is>
      </c>
      <c r="D811" t="inlineStr">
        <is>
          <t>Perform</t>
        </is>
      </c>
      <c r="E811" t="inlineStr">
        <is>
          <t>Analysis Options</t>
        </is>
      </c>
      <c r="F811" t="inlineStr">
        <is>
          <t>Analysis Options</t>
        </is>
      </c>
      <c r="T811" t="inlineStr">
        <is>
          <t>none</t>
        </is>
      </c>
      <c r="Z811">
        <f>IF(OR(K409="",K409="TABLE"),"",
_xlfn.TEXTJOIN(", ",TRUE,
IF(E409&lt;&gt;"",E409&amp;K409,""),
IF(F409&lt;&gt;"",F409&amp;K409,""),
IF(G409&lt;&gt;"",G409&amp;K409,"")
))</f>
        <v/>
      </c>
      <c r="AA811">
        <f>IF(K409="","",IF(K409="TABLE","",K409))</f>
        <v/>
      </c>
      <c r="AB811">
        <f>IF(ISNUMBER(SEARCH("기존변경필요",SUBSTITUTE(TRIM(V409),CHAR(10)," "))),"",
IFERROR(
  _xlfn.XLOOKUP(AA409,'기존 end point'!B:B,'기존 end point'!B:B,,0),
""))</f>
        <v/>
      </c>
    </row>
    <row r="812">
      <c r="A812" t="n">
        <v>408</v>
      </c>
      <c r="B812" t="inlineStr">
        <is>
          <t>civil-nx/gen-nx</t>
        </is>
      </c>
      <c r="C812" t="inlineStr">
        <is>
          <t>Analysis</t>
        </is>
      </c>
      <c r="D812" t="inlineStr">
        <is>
          <t>Perform</t>
        </is>
      </c>
      <c r="E812" t="inlineStr">
        <is>
          <t>Analysis Options</t>
        </is>
      </c>
      <c r="F812" t="inlineStr">
        <is>
          <t>Batch Analysis</t>
        </is>
      </c>
      <c r="T812" t="inlineStr">
        <is>
          <t>none</t>
        </is>
      </c>
      <c r="Z812">
        <f>IF(OR(K410="",K410="TABLE"),"",
_xlfn.TEXTJOIN(", ",TRUE,
IF(E410&lt;&gt;"",E410&amp;K410,""),
IF(F410&lt;&gt;"",F410&amp;K410,""),
IF(G410&lt;&gt;"",G410&amp;K410,"")
))</f>
        <v/>
      </c>
      <c r="AA812">
        <f>IF(K410="","",IF(K410="TABLE","",K410))</f>
        <v/>
      </c>
      <c r="AB812">
        <f>IF(ISNUMBER(SEARCH("기존변경필요",SUBSTITUTE(TRIM(V410),CHAR(10)," "))),"",
IFERROR(
  _xlfn.XLOOKUP(AA410,'기존 end point'!B:B,'기존 end point'!B:B,,0),
""))</f>
        <v/>
      </c>
    </row>
    <row r="813">
      <c r="A813" t="n">
        <v>409</v>
      </c>
      <c r="B813" t="inlineStr">
        <is>
          <t>civil-nx/gen-nx</t>
        </is>
      </c>
      <c r="C813" t="inlineStr">
        <is>
          <t>Analysis</t>
        </is>
      </c>
      <c r="D813" t="inlineStr">
        <is>
          <t>Perform</t>
        </is>
      </c>
      <c r="E813" t="inlineStr">
        <is>
          <t>Import Analysis Result</t>
        </is>
      </c>
      <c r="T813" t="inlineStr">
        <is>
          <t>none</t>
        </is>
      </c>
      <c r="Z813">
        <f>IF(OR(K411="",K411="TABLE"),"",
_xlfn.TEXTJOIN(", ",TRUE,
IF(E411&lt;&gt;"",E411&amp;K411,""),
IF(F411&lt;&gt;"",F411&amp;K411,""),
IF(G411&lt;&gt;"",G411&amp;K411,"")
))</f>
        <v/>
      </c>
      <c r="AA813">
        <f>IF(K411="","",IF(K411="TABLE","",K411))</f>
        <v/>
      </c>
      <c r="AB813">
        <f>IF(ISNUMBER(SEARCH("기존변경필요",SUBSTITUTE(TRIM(V411),CHAR(10)," "))),"",
IFERROR(
  _xlfn.XLOOKUP(AA411,'기존 end point'!B:B,'기존 end point'!B:B,,0),
""))</f>
        <v/>
      </c>
    </row>
    <row r="814">
      <c r="A814" t="n">
        <v>410</v>
      </c>
      <c r="B814" t="inlineStr">
        <is>
          <t>civil-nx/gen-nx</t>
        </is>
      </c>
      <c r="C814" t="inlineStr">
        <is>
          <t>Analysis Result</t>
        </is>
      </c>
      <c r="D814" t="inlineStr">
        <is>
          <t>Combination</t>
        </is>
      </c>
      <c r="E814" t="inlineStr">
        <is>
          <t>Load Combination</t>
        </is>
      </c>
      <c r="T814" t="inlineStr">
        <is>
          <t>none</t>
        </is>
      </c>
      <c r="Z814">
        <f>IF(OR(K412="",K412="TABLE"),"",
_xlfn.TEXTJOIN(", ",TRUE,
IF(E412&lt;&gt;"",E412&amp;K412,""),
IF(F412&lt;&gt;"",F412&amp;K412,""),
IF(G412&lt;&gt;"",G412&amp;K412,"")
))</f>
        <v/>
      </c>
      <c r="AA814">
        <f>IF(K412="","",IF(K412="TABLE","",K412))</f>
        <v/>
      </c>
      <c r="AB814">
        <f>IF(ISNUMBER(SEARCH("기존변경필요",SUBSTITUTE(TRIM(V412),CHAR(10)," "))),"",
IFERROR(
  _xlfn.XLOOKUP(AA412,'기존 end point'!B:B,'기존 end point'!B:B,,0),
""))</f>
        <v/>
      </c>
    </row>
    <row r="815">
      <c r="A815" t="n">
        <v>411</v>
      </c>
      <c r="H815" t="inlineStr">
        <is>
          <t>db</t>
        </is>
      </c>
      <c r="I815" t="inlineStr">
        <is>
          <t>lcom-gen</t>
        </is>
      </c>
      <c r="K815">
        <f>_xlfn.TEXTAFTER(L413,"/",-1)</f>
        <v/>
      </c>
      <c r="L815" t="inlineStr">
        <is>
          <t>/db/lcom-gen</t>
        </is>
      </c>
      <c r="M815" t="inlineStr">
        <is>
          <t>Load Combinations - General</t>
        </is>
      </c>
      <c r="N815" t="inlineStr">
        <is>
          <t>done</t>
        </is>
      </c>
      <c r="O815" t="inlineStr">
        <is>
          <t>done</t>
        </is>
      </c>
      <c r="P815" t="inlineStr">
        <is>
          <t>done</t>
        </is>
      </c>
      <c r="Q815" t="inlineStr">
        <is>
          <t>done</t>
        </is>
      </c>
      <c r="R815" t="inlineStr">
        <is>
          <t>done</t>
        </is>
      </c>
      <c r="S815" t="inlineStr">
        <is>
          <t>done</t>
        </is>
      </c>
      <c r="T815" t="inlineStr">
        <is>
          <t>Done</t>
        </is>
      </c>
      <c r="Z815">
        <f>IF(OR(K413="",K413="TABLE"),"",
_xlfn.TEXTJOIN(", ",TRUE,
IF(E413&lt;&gt;"",E413&amp;K413,""),
IF(F413&lt;&gt;"",F413&amp;K413,""),
IF(G413&lt;&gt;"",G413&amp;K413,"")
))</f>
        <v/>
      </c>
      <c r="AA815">
        <f>IF(K413="","",IF(K413="TABLE","",K413))</f>
        <v/>
      </c>
      <c r="AB815">
        <f>IF(ISNUMBER(SEARCH("기존변경필요",SUBSTITUTE(TRIM(V413),CHAR(10)," "))),"",
IFERROR(
  _xlfn.XLOOKUP(AA413,'기존 end point'!B:B,'기존 end point'!B:B,,0),
""))</f>
        <v/>
      </c>
    </row>
    <row r="816">
      <c r="A816" t="n">
        <v>412</v>
      </c>
      <c r="H816" t="inlineStr">
        <is>
          <t>db</t>
        </is>
      </c>
      <c r="I816" t="inlineStr">
        <is>
          <t>lcom-conc</t>
        </is>
      </c>
      <c r="K816">
        <f>_xlfn.TEXTAFTER(L414,"/",-1)</f>
        <v/>
      </c>
      <c r="L816" t="inlineStr">
        <is>
          <t>/db/lcom-conc</t>
        </is>
      </c>
      <c r="M816" t="inlineStr">
        <is>
          <t>Load Combinations - Concrete Design</t>
        </is>
      </c>
      <c r="N816" t="inlineStr">
        <is>
          <t>done</t>
        </is>
      </c>
      <c r="O816" t="inlineStr">
        <is>
          <t>done</t>
        </is>
      </c>
      <c r="P816" t="inlineStr">
        <is>
          <t>done</t>
        </is>
      </c>
      <c r="Q816" t="inlineStr">
        <is>
          <t>done</t>
        </is>
      </c>
      <c r="R816" t="inlineStr">
        <is>
          <t>done</t>
        </is>
      </c>
      <c r="S816" t="inlineStr">
        <is>
          <t>done</t>
        </is>
      </c>
      <c r="T816" t="inlineStr">
        <is>
          <t>Done</t>
        </is>
      </c>
      <c r="Z816">
        <f>IF(OR(K414="",K414="TABLE"),"",
_xlfn.TEXTJOIN(", ",TRUE,
IF(E414&lt;&gt;"",E414&amp;K414,""),
IF(F414&lt;&gt;"",F414&amp;K414,""),
IF(G414&lt;&gt;"",G414&amp;K414,"")
))</f>
        <v/>
      </c>
      <c r="AA816">
        <f>IF(K414="","",IF(K414="TABLE","",K414))</f>
        <v/>
      </c>
      <c r="AB816">
        <f>IF(ISNUMBER(SEARCH("기존변경필요",SUBSTITUTE(TRIM(V414),CHAR(10)," "))),"",
IFERROR(
  _xlfn.XLOOKUP(AA414,'기존 end point'!B:B,'기존 end point'!B:B,,0),
""))</f>
        <v/>
      </c>
    </row>
    <row r="817">
      <c r="A817" s="26" t="n"/>
      <c r="B817" s="26" t="n"/>
      <c r="C817" s="26" t="inlineStr">
        <is>
          <t>DB_Analysis Results</t>
        </is>
      </c>
      <c r="D817" s="26" t="inlineStr">
        <is>
          <t>DB_Analysis Results</t>
        </is>
      </c>
      <c r="E817" s="26" t="n"/>
      <c r="F817" s="26" t="n"/>
      <c r="G817" s="26" t="n"/>
      <c r="H817" s="26" t="inlineStr">
        <is>
          <t>DB</t>
        </is>
      </c>
      <c r="I817" s="26" t="inlineStr">
        <is>
          <t>LCOM-FDN</t>
        </is>
      </c>
      <c r="J817" s="26" t="n"/>
      <c r="K817" s="26" t="n"/>
      <c r="L817" s="26" t="inlineStr">
        <is>
          <t>/DB/LCOM-FDN</t>
        </is>
      </c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inlineStr">
        <is>
          <t>DELETE, GET, POST, PUT</t>
        </is>
      </c>
      <c r="W817" s="26" t="n"/>
      <c r="X817" s="26" t="n"/>
    </row>
    <row r="818">
      <c r="A818" s="26" t="n"/>
      <c r="B818" s="26" t="n"/>
      <c r="C818" s="26" t="inlineStr">
        <is>
          <t>DB_Analysis Results</t>
        </is>
      </c>
      <c r="D818" s="26" t="inlineStr">
        <is>
          <t>DB_Analysis Results</t>
        </is>
      </c>
      <c r="E818" s="26" t="n"/>
      <c r="F818" s="26" t="n"/>
      <c r="G818" s="26" t="n"/>
      <c r="H818" s="26" t="inlineStr">
        <is>
          <t>DB</t>
        </is>
      </c>
      <c r="I818" s="26" t="inlineStr">
        <is>
          <t>LCOM-LINEAR</t>
        </is>
      </c>
      <c r="J818" s="26" t="n"/>
      <c r="K818" s="26" t="n"/>
      <c r="L818" s="26" t="inlineStr">
        <is>
          <t>/DB/LCOM-LINEAR</t>
        </is>
      </c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inlineStr">
        <is>
          <t>DELETE, GET, POST, PUT</t>
        </is>
      </c>
      <c r="W818" s="26" t="n"/>
      <c r="X818" s="26" t="n"/>
    </row>
    <row r="819" hidden="1">
      <c r="A819" t="n">
        <v>413</v>
      </c>
      <c r="H819" t="inlineStr">
        <is>
          <t>db</t>
        </is>
      </c>
      <c r="I819" t="inlineStr">
        <is>
          <t>lcom-steel</t>
        </is>
      </c>
      <c r="K819">
        <f>_xlfn.TEXTAFTER(L415,"/",-1)</f>
        <v/>
      </c>
      <c r="L819" t="inlineStr">
        <is>
          <t>/db/lcom-steel</t>
        </is>
      </c>
      <c r="M819" t="inlineStr">
        <is>
          <t>Load Combinations - Steel Design</t>
        </is>
      </c>
      <c r="N819" t="inlineStr">
        <is>
          <t>done</t>
        </is>
      </c>
      <c r="O819" t="inlineStr">
        <is>
          <t>done</t>
        </is>
      </c>
      <c r="P819" t="inlineStr">
        <is>
          <t>done</t>
        </is>
      </c>
      <c r="Q819" t="inlineStr">
        <is>
          <t>done</t>
        </is>
      </c>
      <c r="R819" t="inlineStr">
        <is>
          <t>done</t>
        </is>
      </c>
      <c r="S819" t="inlineStr">
        <is>
          <t>done</t>
        </is>
      </c>
      <c r="T819" t="inlineStr">
        <is>
          <t>Done</t>
        </is>
      </c>
      <c r="Z819">
        <f>IF(OR(K415="",K415="TABLE"),"",
_xlfn.TEXTJOIN(", ",TRUE,
IF(E415&lt;&gt;"",E415&amp;K415,""),
IF(F415&lt;&gt;"",F415&amp;K415,""),
IF(G415&lt;&gt;"",G415&amp;K415,"")
))</f>
        <v/>
      </c>
      <c r="AA819">
        <f>IF(K415="","",IF(K415="TABLE","",K415))</f>
        <v/>
      </c>
      <c r="AB819">
        <f>IF(ISNUMBER(SEARCH("기존변경필요",SUBSTITUTE(TRIM(V415),CHAR(10)," "))),"",
IFERROR(
  _xlfn.XLOOKUP(AA415,'기존 end point'!B:B,'기존 end point'!B:B,,0),
""))</f>
        <v/>
      </c>
    </row>
    <row r="820" hidden="1">
      <c r="A820" t="n">
        <v>414</v>
      </c>
      <c r="H820" t="inlineStr">
        <is>
          <t>db</t>
        </is>
      </c>
      <c r="I820" t="inlineStr">
        <is>
          <t>lcom-src</t>
        </is>
      </c>
      <c r="K820">
        <f>_xlfn.TEXTAFTER(L416,"/",-1)</f>
        <v/>
      </c>
      <c r="L820" t="inlineStr">
        <is>
          <t>/db/lcom-src</t>
        </is>
      </c>
      <c r="M820" t="inlineStr">
        <is>
          <t>Load Combinations - SRC Design</t>
        </is>
      </c>
      <c r="N820" t="inlineStr">
        <is>
          <t>done</t>
        </is>
      </c>
      <c r="O820" t="inlineStr">
        <is>
          <t>done</t>
        </is>
      </c>
      <c r="P820" t="inlineStr">
        <is>
          <t>done</t>
        </is>
      </c>
      <c r="Q820" t="inlineStr">
        <is>
          <t>done</t>
        </is>
      </c>
      <c r="R820" t="inlineStr">
        <is>
          <t>done</t>
        </is>
      </c>
      <c r="S820" t="inlineStr">
        <is>
          <t>done</t>
        </is>
      </c>
      <c r="T820" t="inlineStr">
        <is>
          <t>Done</t>
        </is>
      </c>
      <c r="Z820">
        <f>IF(OR(K416="",K416="TABLE"),"",
_xlfn.TEXTJOIN(", ",TRUE,
IF(E416&lt;&gt;"",E416&amp;K416,""),
IF(F416&lt;&gt;"",F416&amp;K416,""),
IF(G416&lt;&gt;"",G416&amp;K416,"")
))</f>
        <v/>
      </c>
      <c r="AA820">
        <f>IF(K416="","",IF(K416="TABLE","",K416))</f>
        <v/>
      </c>
      <c r="AB820">
        <f>IF(ISNUMBER(SEARCH("기존변경필요",SUBSTITUTE(TRIM(V416),CHAR(10)," "))),"",
IFERROR(
  _xlfn.XLOOKUP(AA416,'기존 end point'!B:B,'기존 end point'!B:B,,0),
""))</f>
        <v/>
      </c>
    </row>
    <row r="821" hidden="1">
      <c r="A821" t="n">
        <v>415</v>
      </c>
      <c r="H821" t="inlineStr">
        <is>
          <t>db</t>
        </is>
      </c>
      <c r="I821" t="inlineStr">
        <is>
          <t>lcom-stlcomp</t>
        </is>
      </c>
      <c r="K821">
        <f>_xlfn.TEXTAFTER(L417,"/",-1)</f>
        <v/>
      </c>
      <c r="L821" t="inlineStr">
        <is>
          <t>/db/lcom-stlcomp</t>
        </is>
      </c>
      <c r="M821" t="inlineStr">
        <is>
          <t>Load Combinations - Composite Steel Girder Design</t>
        </is>
      </c>
      <c r="N821" t="inlineStr">
        <is>
          <t>done</t>
        </is>
      </c>
      <c r="O821" t="inlineStr">
        <is>
          <t>done</t>
        </is>
      </c>
      <c r="P821" t="inlineStr">
        <is>
          <t>done</t>
        </is>
      </c>
      <c r="Q821" t="inlineStr">
        <is>
          <t>done</t>
        </is>
      </c>
      <c r="R821" t="inlineStr">
        <is>
          <t>done</t>
        </is>
      </c>
      <c r="S821" t="inlineStr">
        <is>
          <t>done</t>
        </is>
      </c>
      <c r="T821" t="inlineStr">
        <is>
          <t>Done</t>
        </is>
      </c>
      <c r="Z821">
        <f>IF(OR(K417="",K417="TABLE"),"",
_xlfn.TEXTJOIN(", ",TRUE,
IF(E417&lt;&gt;"",E417&amp;K417,""),
IF(F417&lt;&gt;"",F417&amp;K417,""),
IF(G417&lt;&gt;"",G417&amp;K417,"")
))</f>
        <v/>
      </c>
      <c r="AA821">
        <f>IF(K417="","",IF(K417="TABLE","",K417))</f>
        <v/>
      </c>
      <c r="AB821">
        <f>IF(ISNUMBER(SEARCH("기존변경필요",SUBSTITUTE(TRIM(V417),CHAR(10)," "))),"",
IFERROR(
  _xlfn.XLOOKUP(AA417,'기존 end point'!B:B,'기존 end point'!B:B,,0),
""))</f>
        <v/>
      </c>
    </row>
    <row r="822" hidden="1">
      <c r="A822" t="n">
        <v>416</v>
      </c>
      <c r="H822" t="inlineStr">
        <is>
          <t>db</t>
        </is>
      </c>
      <c r="I822" t="inlineStr">
        <is>
          <t>lcom-seismic</t>
        </is>
      </c>
      <c r="K822">
        <f>_xlfn.TEXTAFTER(L418,"/",-1)</f>
        <v/>
      </c>
      <c r="L822" t="inlineStr">
        <is>
          <t>/db/lcom-seismic</t>
        </is>
      </c>
      <c r="M822" t="inlineStr">
        <is>
          <t>Load Combinations - Seismic Design</t>
        </is>
      </c>
      <c r="N822" t="inlineStr">
        <is>
          <t>done</t>
        </is>
      </c>
      <c r="O822" t="inlineStr">
        <is>
          <t>done</t>
        </is>
      </c>
      <c r="P822" t="inlineStr">
        <is>
          <t>done</t>
        </is>
      </c>
      <c r="Q822" t="inlineStr">
        <is>
          <t>done</t>
        </is>
      </c>
      <c r="R822" t="inlineStr">
        <is>
          <t>done</t>
        </is>
      </c>
      <c r="S822" t="inlineStr">
        <is>
          <t>done</t>
        </is>
      </c>
      <c r="T822" t="inlineStr">
        <is>
          <t>Done</t>
        </is>
      </c>
      <c r="Z822">
        <f>IF(OR(K418="",K418="TABLE"),"",
_xlfn.TEXTJOIN(", ",TRUE,
IF(E418&lt;&gt;"",E418&amp;K418,""),
IF(F418&lt;&gt;"",F418&amp;K418,""),
IF(G418&lt;&gt;"",G418&amp;K418,"")
))</f>
        <v/>
      </c>
      <c r="AA822">
        <f>IF(K418="","",IF(K418="TABLE","",K418))</f>
        <v/>
      </c>
      <c r="AB822">
        <f>IF(ISNUMBER(SEARCH("기존변경필요",SUBSTITUTE(TRIM(V418),CHAR(10)," "))),"",
IFERROR(
  _xlfn.XLOOKUP(AA418,'기존 end point'!B:B,'기존 end point'!B:B,,0),
""))</f>
        <v/>
      </c>
    </row>
    <row r="823" hidden="1">
      <c r="A823" s="26" t="n"/>
      <c r="B823" s="26" t="n"/>
      <c r="C823" s="26" t="inlineStr">
        <is>
          <t>DB_Analysis Results</t>
        </is>
      </c>
      <c r="D823" s="26" t="inlineStr">
        <is>
          <t>DB_Analysis Results</t>
        </is>
      </c>
      <c r="E823" s="26" t="inlineStr">
        <is>
          <t>Cutting Line</t>
        </is>
      </c>
      <c r="F823" s="26" t="n"/>
      <c r="G823" s="26" t="n"/>
      <c r="H823" s="26" t="inlineStr">
        <is>
          <t>DB</t>
        </is>
      </c>
      <c r="I823" s="26" t="inlineStr">
        <is>
          <t>CUTL</t>
        </is>
      </c>
      <c r="J823" s="26" t="n"/>
      <c r="K823" s="26" t="n"/>
      <c r="L823" s="26" t="inlineStr">
        <is>
          <t>/DB/CUTL</t>
        </is>
      </c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inlineStr">
        <is>
          <t>DELETE, GET, POST, PUT</t>
        </is>
      </c>
      <c r="W823" s="26" t="n"/>
      <c r="X823" s="26" t="n"/>
    </row>
    <row r="824" hidden="1">
      <c r="A824" t="n">
        <v>417</v>
      </c>
      <c r="B824" t="inlineStr">
        <is>
          <t>civil-nx/gen-nx</t>
        </is>
      </c>
      <c r="C824" t="inlineStr">
        <is>
          <t>Analysis Result</t>
        </is>
      </c>
      <c r="D824" t="inlineStr">
        <is>
          <t>Result Diagram</t>
        </is>
      </c>
      <c r="E824" t="inlineStr">
        <is>
          <t>Reactions</t>
        </is>
      </c>
      <c r="F824" t="inlineStr">
        <is>
          <t>Reaction Forces/Moments</t>
        </is>
      </c>
      <c r="T824" t="inlineStr">
        <is>
          <t>none</t>
        </is>
      </c>
      <c r="Z824">
        <f>IF(OR(K419="",K419="TABLE"),"",
_xlfn.TEXTJOIN(", ",TRUE,
IF(E419&lt;&gt;"",E419&amp;K419,""),
IF(F419&lt;&gt;"",F419&amp;K419,""),
IF(G419&lt;&gt;"",G419&amp;K419,"")
))</f>
        <v/>
      </c>
      <c r="AA824">
        <f>IF(K419="","",IF(K419="TABLE","",K419))</f>
        <v/>
      </c>
      <c r="AB824">
        <f>IF(ISNUMBER(SEARCH("기존변경필요",SUBSTITUTE(TRIM(V419),CHAR(10)," "))),"",
IFERROR(
  _xlfn.XLOOKUP(AA419,'기존 end point'!B:B,'기존 end point'!B:B,,0),
""))</f>
        <v/>
      </c>
    </row>
    <row r="825" hidden="1">
      <c r="A825" t="n">
        <v>418</v>
      </c>
      <c r="B825" t="inlineStr">
        <is>
          <t>civil-nx/gen-nx</t>
        </is>
      </c>
      <c r="C825" t="inlineStr">
        <is>
          <t>Analysis Result</t>
        </is>
      </c>
      <c r="D825" t="inlineStr">
        <is>
          <t>Result Diagram</t>
        </is>
      </c>
      <c r="E825" t="inlineStr">
        <is>
          <t>Reactions</t>
        </is>
      </c>
      <c r="F825" t="inlineStr">
        <is>
          <t>Search Reaction Forces/Moments</t>
        </is>
      </c>
      <c r="T825" t="inlineStr">
        <is>
          <t>none</t>
        </is>
      </c>
      <c r="Z825">
        <f>IF(OR(K420="",K420="TABLE"),"",
_xlfn.TEXTJOIN(", ",TRUE,
IF(E420&lt;&gt;"",E420&amp;K420,""),
IF(F420&lt;&gt;"",F420&amp;K420,""),
IF(G420&lt;&gt;"",G420&amp;K420,"")
))</f>
        <v/>
      </c>
      <c r="AA825">
        <f>IF(K420="","",IF(K420="TABLE","",K420))</f>
        <v/>
      </c>
      <c r="AB825">
        <f>IF(ISNUMBER(SEARCH("기존변경필요",SUBSTITUTE(TRIM(V420),CHAR(10)," "))),"",
IFERROR(
  _xlfn.XLOOKUP(AA420,'기존 end point'!B:B,'기존 end point'!B:B,,0),
""))</f>
        <v/>
      </c>
    </row>
    <row r="826" hidden="1">
      <c r="A826" t="n">
        <v>419</v>
      </c>
      <c r="B826" t="inlineStr">
        <is>
          <t>civil-nx/gen-nx</t>
        </is>
      </c>
      <c r="C826" t="inlineStr">
        <is>
          <t>Analysis Result</t>
        </is>
      </c>
      <c r="D826" t="inlineStr">
        <is>
          <t>Result Diagram</t>
        </is>
      </c>
      <c r="E826" t="inlineStr">
        <is>
          <t>Reactions</t>
        </is>
      </c>
      <c r="F826" t="inlineStr">
        <is>
          <t>Soil Pressure</t>
        </is>
      </c>
      <c r="T826" t="inlineStr">
        <is>
          <t>none</t>
        </is>
      </c>
      <c r="Z826">
        <f>IF(OR(K421="",K421="TABLE"),"",
_xlfn.TEXTJOIN(", ",TRUE,
IF(E421&lt;&gt;"",E421&amp;K421,""),
IF(F421&lt;&gt;"",F421&amp;K421,""),
IF(G421&lt;&gt;"",G421&amp;K421,"")
))</f>
        <v/>
      </c>
      <c r="AA826">
        <f>IF(K421="","",IF(K421="TABLE","",K421))</f>
        <v/>
      </c>
      <c r="AB826">
        <f>IF(ISNUMBER(SEARCH("기존변경필요",SUBSTITUTE(TRIM(V421),CHAR(10)," "))),"",
IFERROR(
  _xlfn.XLOOKUP(AA421,'기존 end point'!B:B,'기존 end point'!B:B,,0),
""))</f>
        <v/>
      </c>
    </row>
    <row r="827" hidden="1">
      <c r="A827" t="n">
        <v>420</v>
      </c>
      <c r="B827" t="inlineStr">
        <is>
          <t>civil-nx/gen-nx</t>
        </is>
      </c>
      <c r="C827" t="inlineStr">
        <is>
          <t>Analysis Result</t>
        </is>
      </c>
      <c r="D827" t="inlineStr">
        <is>
          <t>Result Diagram</t>
        </is>
      </c>
      <c r="E827" t="inlineStr">
        <is>
          <t>Deformations</t>
        </is>
      </c>
      <c r="F827" t="inlineStr">
        <is>
          <t>Deformed Shape</t>
        </is>
      </c>
      <c r="T827" t="inlineStr">
        <is>
          <t>none</t>
        </is>
      </c>
      <c r="Z827">
        <f>IF(OR(K422="",K422="TABLE"),"",
_xlfn.TEXTJOIN(", ",TRUE,
IF(E422&lt;&gt;"",E422&amp;K422,""),
IF(F422&lt;&gt;"",F422&amp;K422,""),
IF(G422&lt;&gt;"",G422&amp;K422,"")
))</f>
        <v/>
      </c>
      <c r="AA827">
        <f>IF(K422="","",IF(K422="TABLE","",K422))</f>
        <v/>
      </c>
      <c r="AB827">
        <f>IF(ISNUMBER(SEARCH("기존변경필요",SUBSTITUTE(TRIM(V422),CHAR(10)," "))),"",
IFERROR(
  _xlfn.XLOOKUP(AA422,'기존 end point'!B:B,'기존 end point'!B:B,,0),
""))</f>
        <v/>
      </c>
    </row>
    <row r="828" hidden="1">
      <c r="A828" t="n">
        <v>421</v>
      </c>
      <c r="B828" t="inlineStr">
        <is>
          <t>civil-nx/gen-nx</t>
        </is>
      </c>
      <c r="C828" t="inlineStr">
        <is>
          <t>Analysis Result</t>
        </is>
      </c>
      <c r="D828" t="inlineStr">
        <is>
          <t>Result Diagram</t>
        </is>
      </c>
      <c r="E828" t="inlineStr">
        <is>
          <t>Deformations</t>
        </is>
      </c>
      <c r="F828" t="inlineStr">
        <is>
          <t>Displacement Contour</t>
        </is>
      </c>
      <c r="T828" t="inlineStr">
        <is>
          <t>none</t>
        </is>
      </c>
      <c r="Z828">
        <f>IF(OR(K423="",K423="TABLE"),"",
_xlfn.TEXTJOIN(", ",TRUE,
IF(E423&lt;&gt;"",E423&amp;K423,""),
IF(F423&lt;&gt;"",F423&amp;K423,""),
IF(G423&lt;&gt;"",G423&amp;K423,"")
))</f>
        <v/>
      </c>
      <c r="AA828">
        <f>IF(K423="","",IF(K423="TABLE","",K423))</f>
        <v/>
      </c>
      <c r="AB828">
        <f>IF(ISNUMBER(SEARCH("기존변경필요",SUBSTITUTE(TRIM(V423),CHAR(10)," "))),"",
IFERROR(
  _xlfn.XLOOKUP(AA423,'기존 end point'!B:B,'기존 end point'!B:B,,0),
""))</f>
        <v/>
      </c>
    </row>
    <row r="829" hidden="1">
      <c r="A829" t="n">
        <v>422</v>
      </c>
      <c r="B829" t="inlineStr">
        <is>
          <t>civil-nx/gen-nx</t>
        </is>
      </c>
      <c r="C829" t="inlineStr">
        <is>
          <t>Analysis Result</t>
        </is>
      </c>
      <c r="D829" t="inlineStr">
        <is>
          <t>Result Diagram</t>
        </is>
      </c>
      <c r="E829" t="inlineStr">
        <is>
          <t>Deformations</t>
        </is>
      </c>
      <c r="F829" t="inlineStr">
        <is>
          <t>Search Displacements</t>
        </is>
      </c>
      <c r="T829" t="inlineStr">
        <is>
          <t>none</t>
        </is>
      </c>
      <c r="Z829">
        <f>IF(OR(K424="",K424="TABLE"),"",
_xlfn.TEXTJOIN(", ",TRUE,
IF(E424&lt;&gt;"",E424&amp;K424,""),
IF(F424&lt;&gt;"",F424&amp;K424,""),
IF(G424&lt;&gt;"",G424&amp;K424,"")
))</f>
        <v/>
      </c>
      <c r="AA829">
        <f>IF(K424="","",IF(K424="TABLE","",K424))</f>
        <v/>
      </c>
      <c r="AB829">
        <f>IF(ISNUMBER(SEARCH("기존변경필요",SUBSTITUTE(TRIM(V424),CHAR(10)," "))),"",
IFERROR(
  _xlfn.XLOOKUP(AA424,'기존 end point'!B:B,'기존 end point'!B:B,,0),
""))</f>
        <v/>
      </c>
    </row>
    <row r="830" hidden="1">
      <c r="A830" t="n">
        <v>423</v>
      </c>
      <c r="B830" t="inlineStr">
        <is>
          <t>civil-nx/gen-nx</t>
        </is>
      </c>
      <c r="C830" t="inlineStr">
        <is>
          <t>Analysis Result</t>
        </is>
      </c>
      <c r="D830" t="inlineStr">
        <is>
          <t>Result Diagram</t>
        </is>
      </c>
      <c r="E830" t="inlineStr">
        <is>
          <t>Forces</t>
        </is>
      </c>
      <c r="F830" t="inlineStr">
        <is>
          <t>Truss Forces</t>
        </is>
      </c>
      <c r="T830" t="inlineStr">
        <is>
          <t>none</t>
        </is>
      </c>
      <c r="Z830">
        <f>IF(OR(K425="",K425="TABLE"),"",
_xlfn.TEXTJOIN(", ",TRUE,
IF(E425&lt;&gt;"",E425&amp;K425,""),
IF(F425&lt;&gt;"",F425&amp;K425,""),
IF(G425&lt;&gt;"",G425&amp;K425,"")
))</f>
        <v/>
      </c>
      <c r="AA830">
        <f>IF(K425="","",IF(K425="TABLE","",K425))</f>
        <v/>
      </c>
      <c r="AB830">
        <f>IF(ISNUMBER(SEARCH("기존변경필요",SUBSTITUTE(TRIM(V425),CHAR(10)," "))),"",
IFERROR(
  _xlfn.XLOOKUP(AA425,'기존 end point'!B:B,'기존 end point'!B:B,,0),
""))</f>
        <v/>
      </c>
    </row>
    <row r="831">
      <c r="A831" t="n">
        <v>424</v>
      </c>
      <c r="B831" t="inlineStr">
        <is>
          <t>civil-nx/gen-nx</t>
        </is>
      </c>
      <c r="C831" t="inlineStr">
        <is>
          <t>Analysis Result</t>
        </is>
      </c>
      <c r="D831" t="inlineStr">
        <is>
          <t>Result Diagram</t>
        </is>
      </c>
      <c r="E831" t="inlineStr">
        <is>
          <t>Forces</t>
        </is>
      </c>
      <c r="F831" t="inlineStr">
        <is>
          <t>Beam Forces/Moments</t>
        </is>
      </c>
      <c r="T831" t="inlineStr">
        <is>
          <t>none</t>
        </is>
      </c>
      <c r="Z831">
        <f>IF(OR(K426="",K426="TABLE"),"",
_xlfn.TEXTJOIN(", ",TRUE,
IF(E426&lt;&gt;"",E426&amp;K426,""),
IF(F426&lt;&gt;"",F426&amp;K426,""),
IF(G426&lt;&gt;"",G426&amp;K426,"")
))</f>
        <v/>
      </c>
      <c r="AA831">
        <f>IF(K426="","",IF(K426="TABLE","",K426))</f>
        <v/>
      </c>
      <c r="AB831">
        <f>IF(ISNUMBER(SEARCH("기존변경필요",SUBSTITUTE(TRIM(V426),CHAR(10)," "))),"",
IFERROR(
  _xlfn.XLOOKUP(AA426,'기존 end point'!B:B,'기존 end point'!B:B,,0),
""))</f>
        <v/>
      </c>
    </row>
    <row r="832">
      <c r="A832" t="n">
        <v>425</v>
      </c>
      <c r="B832" t="inlineStr">
        <is>
          <t>civil-nx/gen-nx</t>
        </is>
      </c>
      <c r="C832" t="inlineStr">
        <is>
          <t>Analysis Result</t>
        </is>
      </c>
      <c r="D832" t="inlineStr">
        <is>
          <t>Result Diagram</t>
        </is>
      </c>
      <c r="E832" t="inlineStr">
        <is>
          <t>Forces</t>
        </is>
      </c>
      <c r="F832" t="inlineStr">
        <is>
          <t>Beam Diagrams</t>
        </is>
      </c>
      <c r="T832" t="inlineStr">
        <is>
          <t>none</t>
        </is>
      </c>
      <c r="Z832">
        <f>IF(OR(K427="",K427="TABLE"),"",
_xlfn.TEXTJOIN(", ",TRUE,
IF(E427&lt;&gt;"",E427&amp;K427,""),
IF(F427&lt;&gt;"",F427&amp;K427,""),
IF(G427&lt;&gt;"",G427&amp;K427,"")
))</f>
        <v/>
      </c>
      <c r="AA832">
        <f>IF(K427="","",IF(K427="TABLE","",K427))</f>
        <v/>
      </c>
      <c r="AB832">
        <f>IF(ISNUMBER(SEARCH("기존변경필요",SUBSTITUTE(TRIM(V427),CHAR(10)," "))),"",
IFERROR(
  _xlfn.XLOOKUP(AA427,'기존 end point'!B:B,'기존 end point'!B:B,,0),
""))</f>
        <v/>
      </c>
    </row>
    <row r="833">
      <c r="A833" t="n">
        <v>426</v>
      </c>
      <c r="B833" t="inlineStr">
        <is>
          <t>civil-nx/gen-nx</t>
        </is>
      </c>
      <c r="C833" t="inlineStr">
        <is>
          <t>Analysis Result</t>
        </is>
      </c>
      <c r="D833" t="inlineStr">
        <is>
          <t>Result Diagram</t>
        </is>
      </c>
      <c r="E833" t="inlineStr">
        <is>
          <t>Forces</t>
        </is>
      </c>
      <c r="F833" t="inlineStr">
        <is>
          <t>Plate Forces/Moments</t>
        </is>
      </c>
      <c r="T833" t="inlineStr">
        <is>
          <t>none</t>
        </is>
      </c>
      <c r="Z833">
        <f>IF(OR(K428="",K428="TABLE"),"",
_xlfn.TEXTJOIN(", ",TRUE,
IF(E428&lt;&gt;"",E428&amp;K428,""),
IF(F428&lt;&gt;"",F428&amp;K428,""),
IF(G428&lt;&gt;"",G428&amp;K428,"")
))</f>
        <v/>
      </c>
      <c r="AA833">
        <f>IF(K428="","",IF(K428="TABLE","",K428))</f>
        <v/>
      </c>
      <c r="AB833">
        <f>IF(ISNUMBER(SEARCH("기존변경필요",SUBSTITUTE(TRIM(V428),CHAR(10)," "))),"",
IFERROR(
  _xlfn.XLOOKUP(AA428,'기존 end point'!B:B,'기존 end point'!B:B,,0),
""))</f>
        <v/>
      </c>
    </row>
    <row r="834">
      <c r="A834" t="n">
        <v>427</v>
      </c>
      <c r="B834" t="inlineStr">
        <is>
          <t>civil-nx/gen-nx</t>
        </is>
      </c>
      <c r="C834" t="inlineStr">
        <is>
          <t>Analysis Result</t>
        </is>
      </c>
      <c r="D834" t="inlineStr">
        <is>
          <t>Result Diagram</t>
        </is>
      </c>
      <c r="E834" t="inlineStr">
        <is>
          <t>Forces</t>
        </is>
      </c>
      <c r="F834" t="inlineStr">
        <is>
          <t>Plate Cutting Line Diagram</t>
        </is>
      </c>
      <c r="H834" t="inlineStr">
        <is>
          <t>db</t>
        </is>
      </c>
      <c r="I834" t="inlineStr">
        <is>
          <t>clwp</t>
        </is>
      </c>
      <c r="K834">
        <f>_xlfn.TEXTAFTER(L429,"/",-1)</f>
        <v/>
      </c>
      <c r="L834" t="inlineStr">
        <is>
          <t>/db/clwp</t>
        </is>
      </c>
      <c r="M834" t="inlineStr">
        <is>
          <t>Plate Cutting Line Diagram</t>
        </is>
      </c>
      <c r="N834" t="inlineStr">
        <is>
          <t>done</t>
        </is>
      </c>
      <c r="O834" t="inlineStr">
        <is>
          <t>done</t>
        </is>
      </c>
      <c r="P834" t="inlineStr">
        <is>
          <t>done</t>
        </is>
      </c>
      <c r="Q834" t="inlineStr">
        <is>
          <t>done</t>
        </is>
      </c>
      <c r="R834" t="inlineStr">
        <is>
          <t>done</t>
        </is>
      </c>
      <c r="S834" t="inlineStr">
        <is>
          <t>done</t>
        </is>
      </c>
      <c r="T834" t="inlineStr">
        <is>
          <t>Done</t>
        </is>
      </c>
      <c r="Z834">
        <f>IF(OR(K429="",K429="TABLE"),"",
_xlfn.TEXTJOIN(", ",TRUE,
IF(E429&lt;&gt;"",E429&amp;K429,""),
IF(F429&lt;&gt;"",F429&amp;K429,""),
IF(G429&lt;&gt;"",G429&amp;K429,"")
))</f>
        <v/>
      </c>
      <c r="AA834">
        <f>IF(K429="","",IF(K429="TABLE","",K429))</f>
        <v/>
      </c>
      <c r="AB834">
        <f>IF(ISNUMBER(SEARCH("기존변경필요",SUBSTITUTE(TRIM(V429),CHAR(10)," "))),"",
IFERROR(
  _xlfn.XLOOKUP(AA429,'기존 end point'!B:B,'기존 end point'!B:B,,0),
""))</f>
        <v/>
      </c>
    </row>
    <row r="835">
      <c r="A835" s="26" t="n"/>
      <c r="B835" s="26" t="n"/>
      <c r="C835" s="26" t="inlineStr">
        <is>
          <t>DB_Bridge Specialization Results</t>
        </is>
      </c>
      <c r="D835" s="26" t="inlineStr">
        <is>
          <t>DB_Bridge Specialization Results</t>
        </is>
      </c>
      <c r="E835" s="26" t="inlineStr">
        <is>
          <t>Bridge Girder Diagrams</t>
        </is>
      </c>
      <c r="F835" s="26" t="n"/>
      <c r="G835" s="26" t="n"/>
      <c r="H835" s="26" t="inlineStr">
        <is>
          <t>DB</t>
        </is>
      </c>
      <c r="I835" s="26" t="inlineStr">
        <is>
          <t>GSBG</t>
        </is>
      </c>
      <c r="J835" s="26" t="n"/>
      <c r="K835" s="26" t="n"/>
      <c r="L835" s="26" t="inlineStr">
        <is>
          <t>/DB/GSBG</t>
        </is>
      </c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inlineStr">
        <is>
          <t>DELETE, GET, POST, PUT</t>
        </is>
      </c>
      <c r="W835" s="26" t="n"/>
      <c r="X835" s="26" t="n"/>
    </row>
    <row r="836">
      <c r="A836" s="26" t="n"/>
      <c r="B836" s="26" t="n"/>
      <c r="C836" s="26" t="inlineStr">
        <is>
          <t>DB_Bridge Specialization Results</t>
        </is>
      </c>
      <c r="D836" s="26" t="inlineStr">
        <is>
          <t>DB_Bridge Specialization Results</t>
        </is>
      </c>
      <c r="E836" s="26" t="inlineStr">
        <is>
          <t>General Camber Control</t>
        </is>
      </c>
      <c r="F836" s="26" t="n"/>
      <c r="G836" s="26" t="n"/>
      <c r="H836" s="26" t="inlineStr">
        <is>
          <t>DB</t>
        </is>
      </c>
      <c r="I836" s="26" t="inlineStr">
        <is>
          <t>GCMB</t>
        </is>
      </c>
      <c r="J836" s="26" t="n"/>
      <c r="K836" s="26" t="n"/>
      <c r="L836" s="26" t="inlineStr">
        <is>
          <t>/DB/GCMB</t>
        </is>
      </c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inlineStr">
        <is>
          <t>DELETE, GET, POST, PUT</t>
        </is>
      </c>
      <c r="W836" s="26" t="n"/>
      <c r="X836" s="26" t="n"/>
    </row>
    <row r="837">
      <c r="A837" s="26" t="n"/>
      <c r="B837" s="26" t="n"/>
      <c r="C837" s="26" t="inlineStr">
        <is>
          <t>DB_Bridge Specialization Results</t>
        </is>
      </c>
      <c r="D837" s="26" t="inlineStr">
        <is>
          <t>DB_Bridge Specialization Results</t>
        </is>
      </c>
      <c r="E837" s="26" t="inlineStr">
        <is>
          <t>FCM Camber Control</t>
        </is>
      </c>
      <c r="F837" s="26" t="n"/>
      <c r="G837" s="26" t="n"/>
      <c r="H837" s="26" t="inlineStr">
        <is>
          <t>DB</t>
        </is>
      </c>
      <c r="I837" s="26" t="inlineStr">
        <is>
          <t>CAMB</t>
        </is>
      </c>
      <c r="J837" s="26" t="n"/>
      <c r="K837" s="26" t="n"/>
      <c r="L837" s="26" t="inlineStr">
        <is>
          <t>/DB/CAMB</t>
        </is>
      </c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inlineStr">
        <is>
          <t>DELETE, GET, POST, PUT</t>
        </is>
      </c>
      <c r="W837" s="26" t="n"/>
      <c r="X837" s="26" t="n"/>
    </row>
    <row r="838">
      <c r="A838" s="26" t="n"/>
      <c r="B838" s="26" t="n"/>
      <c r="C838" s="26" t="inlineStr">
        <is>
          <t>DB_Design</t>
        </is>
      </c>
      <c r="D838" s="26" t="inlineStr">
        <is>
          <t>DB_Design</t>
        </is>
      </c>
      <c r="E838" s="26" t="n"/>
      <c r="F838" s="26" t="n"/>
      <c r="G838" s="26" t="n"/>
      <c r="H838" s="26" t="inlineStr">
        <is>
          <t>DB</t>
        </is>
      </c>
      <c r="I838" s="26" t="inlineStr">
        <is>
          <t>CMFT</t>
        </is>
      </c>
      <c r="J838" s="26" t="n"/>
      <c r="K838" s="26" t="n"/>
      <c r="L838" s="26" t="inlineStr">
        <is>
          <t>/DB/CMFT</t>
        </is>
      </c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inlineStr">
        <is>
          <t>DELETE, GET, POST, PUT</t>
        </is>
      </c>
      <c r="W838" s="26" t="n"/>
      <c r="X838" s="26" t="n"/>
    </row>
    <row r="839">
      <c r="A839" s="26" t="n"/>
      <c r="B839" s="26" t="n"/>
      <c r="C839" s="26" t="inlineStr">
        <is>
          <t>DB_Misc. Result</t>
        </is>
      </c>
      <c r="D839" s="26" t="inlineStr">
        <is>
          <t>DB_Misc. Result</t>
        </is>
      </c>
      <c r="E839" s="26" t="inlineStr">
        <is>
          <t>Cable Control - Unknown Load Factor Constraints</t>
        </is>
      </c>
      <c r="F839" s="26" t="n"/>
      <c r="G839" s="26" t="n"/>
      <c r="H839" s="26" t="inlineStr">
        <is>
          <t>DB</t>
        </is>
      </c>
      <c r="I839" s="26" t="inlineStr">
        <is>
          <t>ULFC</t>
        </is>
      </c>
      <c r="J839" s="26" t="n"/>
      <c r="K839" s="26" t="n"/>
      <c r="L839" s="26" t="inlineStr">
        <is>
          <t>/DB/ULFC</t>
        </is>
      </c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inlineStr">
        <is>
          <t>DELETE, GET, POST, PUT</t>
        </is>
      </c>
      <c r="W839" s="26" t="n"/>
      <c r="X839" s="26" t="n"/>
    </row>
    <row r="840">
      <c r="A840" t="n">
        <v>428</v>
      </c>
      <c r="B840" t="inlineStr">
        <is>
          <t>gen-nx</t>
        </is>
      </c>
      <c r="C840" t="inlineStr">
        <is>
          <t>Analysis Result</t>
        </is>
      </c>
      <c r="D840" t="inlineStr">
        <is>
          <t>Result Diagram</t>
        </is>
      </c>
      <c r="E840" t="inlineStr">
        <is>
          <t>Forces</t>
        </is>
      </c>
      <c r="F840" t="inlineStr">
        <is>
          <t>Wall Forces/Moments</t>
        </is>
      </c>
      <c r="T840" t="inlineStr">
        <is>
          <t>none</t>
        </is>
      </c>
      <c r="Z840">
        <f>IF(OR(K430="",K430="TABLE"),"",
_xlfn.TEXTJOIN(", ",TRUE,
IF(E430&lt;&gt;"",E430&amp;K430,""),
IF(F430&lt;&gt;"",F430&amp;K430,""),
IF(G430&lt;&gt;"",G430&amp;K430,"")
))</f>
        <v/>
      </c>
      <c r="AA840">
        <f>IF(K430="","",IF(K430="TABLE","",K430))</f>
        <v/>
      </c>
      <c r="AB840">
        <f>IF(ISNUMBER(SEARCH("기존변경필요",SUBSTITUTE(TRIM(V430),CHAR(10)," "))),"",
IFERROR(
  _xlfn.XLOOKUP(AA430,'기존 end point'!B:B,'기존 end point'!B:B,,0),
""))</f>
        <v/>
      </c>
    </row>
    <row r="841">
      <c r="A841" t="n">
        <v>429</v>
      </c>
      <c r="B841" t="inlineStr">
        <is>
          <t>gen-nx</t>
        </is>
      </c>
      <c r="C841" t="inlineStr">
        <is>
          <t>Analysis Result</t>
        </is>
      </c>
      <c r="D841" t="inlineStr">
        <is>
          <t>Result Diagram</t>
        </is>
      </c>
      <c r="E841" t="inlineStr">
        <is>
          <t>Forces</t>
        </is>
      </c>
      <c r="F841" t="inlineStr">
        <is>
          <t>Wall Diagrams</t>
        </is>
      </c>
      <c r="T841" t="inlineStr">
        <is>
          <t>none</t>
        </is>
      </c>
      <c r="Z841">
        <f>IF(OR(K431="",K431="TABLE"),"",
_xlfn.TEXTJOIN(", ",TRUE,
IF(E431&lt;&gt;"",E431&amp;K431,""),
IF(F431&lt;&gt;"",F431&amp;K431,""),
IF(G431&lt;&gt;"",G431&amp;K431,"")
))</f>
        <v/>
      </c>
      <c r="AA841">
        <f>IF(K431="","",IF(K431="TABLE","",K431))</f>
        <v/>
      </c>
      <c r="AB841">
        <f>IF(ISNUMBER(SEARCH("기존변경필요",SUBSTITUTE(TRIM(V431),CHAR(10)," "))),"",
IFERROR(
  _xlfn.XLOOKUP(AA431,'기존 end point'!B:B,'기존 end point'!B:B,,0),
""))</f>
        <v/>
      </c>
    </row>
    <row r="842">
      <c r="A842" t="n">
        <v>430</v>
      </c>
      <c r="B842" t="inlineStr">
        <is>
          <t>gen-nx</t>
        </is>
      </c>
      <c r="C842" t="inlineStr">
        <is>
          <t>Analysis Result</t>
        </is>
      </c>
      <c r="D842" t="inlineStr">
        <is>
          <t>Result Diagram</t>
        </is>
      </c>
      <c r="E842" t="inlineStr">
        <is>
          <t>Forces</t>
        </is>
      </c>
      <c r="F842" t="inlineStr">
        <is>
          <t>Member Diagrams</t>
        </is>
      </c>
      <c r="T842" t="inlineStr">
        <is>
          <t>none</t>
        </is>
      </c>
      <c r="Z842">
        <f>IF(OR(K432="",K432="TABLE"),"",
_xlfn.TEXTJOIN(", ",TRUE,
IF(E432&lt;&gt;"",E432&amp;K432,""),
IF(F432&lt;&gt;"",F432&amp;K432,""),
IF(G432&lt;&gt;"",G432&amp;K432,"")
))</f>
        <v/>
      </c>
      <c r="AA842">
        <f>IF(K432="","",IF(K432="TABLE","",K432))</f>
        <v/>
      </c>
      <c r="AB842">
        <f>IF(ISNUMBER(SEARCH("기존변경필요",SUBSTITUTE(TRIM(V432),CHAR(10)," "))),"",
IFERROR(
  _xlfn.XLOOKUP(AA432,'기존 end point'!B:B,'기존 end point'!B:B,,0),
""))</f>
        <v/>
      </c>
    </row>
    <row r="843" hidden="1">
      <c r="A843" t="n">
        <v>431</v>
      </c>
      <c r="B843" t="inlineStr">
        <is>
          <t>civil-nx/gen-nx</t>
        </is>
      </c>
      <c r="C843" t="inlineStr">
        <is>
          <t>Analysis Result</t>
        </is>
      </c>
      <c r="D843" t="inlineStr">
        <is>
          <t>Result Diagram</t>
        </is>
      </c>
      <c r="E843" t="inlineStr">
        <is>
          <t>Stresses</t>
        </is>
      </c>
      <c r="F843" t="inlineStr">
        <is>
          <t>Truss Stresses</t>
        </is>
      </c>
      <c r="T843" t="inlineStr">
        <is>
          <t>none</t>
        </is>
      </c>
      <c r="Z843">
        <f>IF(OR(K433="",K433="TABLE"),"",
_xlfn.TEXTJOIN(", ",TRUE,
IF(E433&lt;&gt;"",E433&amp;K433,""),
IF(F433&lt;&gt;"",F433&amp;K433,""),
IF(G433&lt;&gt;"",G433&amp;K433,"")
))</f>
        <v/>
      </c>
      <c r="AA843">
        <f>IF(K433="","",IF(K433="TABLE","",K433))</f>
        <v/>
      </c>
      <c r="AB843">
        <f>IF(ISNUMBER(SEARCH("기존변경필요",SUBSTITUTE(TRIM(V433),CHAR(10)," "))),"",
IFERROR(
  _xlfn.XLOOKUP(AA433,'기존 end point'!B:B,'기존 end point'!B:B,,0),
""))</f>
        <v/>
      </c>
    </row>
    <row r="844" hidden="1">
      <c r="A844" t="n">
        <v>432</v>
      </c>
      <c r="B844" t="inlineStr">
        <is>
          <t>civil-nx/gen-nx</t>
        </is>
      </c>
      <c r="C844" t="inlineStr">
        <is>
          <t>Analysis Result</t>
        </is>
      </c>
      <c r="D844" t="inlineStr">
        <is>
          <t>Result Diagram</t>
        </is>
      </c>
      <c r="E844" t="inlineStr">
        <is>
          <t>Stresses</t>
        </is>
      </c>
      <c r="F844" t="inlineStr">
        <is>
          <t>Beam Stresses</t>
        </is>
      </c>
      <c r="T844" t="inlineStr">
        <is>
          <t>none</t>
        </is>
      </c>
      <c r="Z844">
        <f>IF(OR(K434="",K434="TABLE"),"",
_xlfn.TEXTJOIN(", ",TRUE,
IF(E434&lt;&gt;"",E434&amp;K434,""),
IF(F434&lt;&gt;"",F434&amp;K434,""),
IF(G434&lt;&gt;"",G434&amp;K434,"")
))</f>
        <v/>
      </c>
      <c r="AA844">
        <f>IF(K434="","",IF(K434="TABLE","",K434))</f>
        <v/>
      </c>
      <c r="AB844">
        <f>IF(ISNUMBER(SEARCH("기존변경필요",SUBSTITUTE(TRIM(V434),CHAR(10)," "))),"",
IFERROR(
  _xlfn.XLOOKUP(AA434,'기존 end point'!B:B,'기존 end point'!B:B,,0),
""))</f>
        <v/>
      </c>
    </row>
    <row r="845" hidden="1">
      <c r="A845" t="n">
        <v>433</v>
      </c>
      <c r="B845" t="inlineStr">
        <is>
          <t>civil-nx/gen-nx</t>
        </is>
      </c>
      <c r="C845" t="inlineStr">
        <is>
          <t>Analysis Result</t>
        </is>
      </c>
      <c r="D845" t="inlineStr">
        <is>
          <t>Result Diagram</t>
        </is>
      </c>
      <c r="E845" t="inlineStr">
        <is>
          <t>Stresses</t>
        </is>
      </c>
      <c r="F845" t="inlineStr">
        <is>
          <t>Beam Stresses Diagram</t>
        </is>
      </c>
      <c r="T845" t="inlineStr">
        <is>
          <t>none</t>
        </is>
      </c>
      <c r="Z845">
        <f>IF(OR(K435="",K435="TABLE"),"",
_xlfn.TEXTJOIN(", ",TRUE,
IF(E435&lt;&gt;"",E435&amp;K435,""),
IF(F435&lt;&gt;"",F435&amp;K435,""),
IF(G435&lt;&gt;"",G435&amp;K435,"")
))</f>
        <v/>
      </c>
      <c r="AA845">
        <f>IF(K435="","",IF(K435="TABLE","",K435))</f>
        <v/>
      </c>
      <c r="AB845">
        <f>IF(ISNUMBER(SEARCH("기존변경필요",SUBSTITUTE(TRIM(V435),CHAR(10)," "))),"",
IFERROR(
  _xlfn.XLOOKUP(AA435,'기존 end point'!B:B,'기존 end point'!B:B,,0),
""))</f>
        <v/>
      </c>
    </row>
    <row r="846" hidden="1">
      <c r="A846" t="n">
        <v>434</v>
      </c>
      <c r="B846" t="inlineStr">
        <is>
          <t>civil-nx/gen-nx</t>
        </is>
      </c>
      <c r="C846" t="inlineStr">
        <is>
          <t>Analysis Result</t>
        </is>
      </c>
      <c r="D846" t="inlineStr">
        <is>
          <t>Result Diagram</t>
        </is>
      </c>
      <c r="E846" t="inlineStr">
        <is>
          <t>Stresses</t>
        </is>
      </c>
      <c r="F846" t="inlineStr">
        <is>
          <t>Beam Stresses(Equivalent)</t>
        </is>
      </c>
      <c r="T846" t="inlineStr">
        <is>
          <t>none</t>
        </is>
      </c>
      <c r="Z846">
        <f>IF(OR(K436="",K436="TABLE"),"",
_xlfn.TEXTJOIN(", ",TRUE,
IF(E436&lt;&gt;"",E436&amp;K436,""),
IF(F436&lt;&gt;"",F436&amp;K436,""),
IF(G436&lt;&gt;"",G436&amp;K436,"")
))</f>
        <v/>
      </c>
      <c r="AA846">
        <f>IF(K436="","",IF(K436="TABLE","",K436))</f>
        <v/>
      </c>
      <c r="AB846">
        <f>IF(ISNUMBER(SEARCH("기존변경필요",SUBSTITUTE(TRIM(V436),CHAR(10)," "))),"",
IFERROR(
  _xlfn.XLOOKUP(AA436,'기존 end point'!B:B,'기존 end point'!B:B,,0),
""))</f>
        <v/>
      </c>
    </row>
    <row r="847" hidden="1">
      <c r="A847" t="n">
        <v>435</v>
      </c>
      <c r="B847" t="inlineStr">
        <is>
          <t>civil-nx/gen-nx</t>
        </is>
      </c>
      <c r="C847" t="inlineStr">
        <is>
          <t>Analysis Result</t>
        </is>
      </c>
      <c r="D847" t="inlineStr">
        <is>
          <t>Result Diagram</t>
        </is>
      </c>
      <c r="E847" t="inlineStr">
        <is>
          <t>Stresses</t>
        </is>
      </c>
      <c r="F847" t="inlineStr">
        <is>
          <t>Beam Stresses Diagram(Equivalent)</t>
        </is>
      </c>
      <c r="T847" t="inlineStr">
        <is>
          <t>none</t>
        </is>
      </c>
      <c r="Z847">
        <f>IF(OR(K437="",K437="TABLE"),"",
_xlfn.TEXTJOIN(", ",TRUE,
IF(E437&lt;&gt;"",E437&amp;K437,""),
IF(F437&lt;&gt;"",F437&amp;K437,""),
IF(G437&lt;&gt;"",G437&amp;K437,"")
))</f>
        <v/>
      </c>
      <c r="AA847">
        <f>IF(K437="","",IF(K437="TABLE","",K437))</f>
        <v/>
      </c>
      <c r="AB847">
        <f>IF(ISNUMBER(SEARCH("기존변경필요",SUBSTITUTE(TRIM(V437),CHAR(10)," "))),"",
IFERROR(
  _xlfn.XLOOKUP(AA437,'기존 end point'!B:B,'기존 end point'!B:B,,0),
""))</f>
        <v/>
      </c>
    </row>
    <row r="848" hidden="1">
      <c r="A848" t="n">
        <v>436</v>
      </c>
      <c r="B848" t="inlineStr">
        <is>
          <t>civil-nx/gen-nx</t>
        </is>
      </c>
      <c r="C848" t="inlineStr">
        <is>
          <t>Analysis Result</t>
        </is>
      </c>
      <c r="D848" t="inlineStr">
        <is>
          <t>Result Diagram</t>
        </is>
      </c>
      <c r="E848" t="inlineStr">
        <is>
          <t>Stresses</t>
        </is>
      </c>
      <c r="F848" t="inlineStr">
        <is>
          <t>Plane-Stress/Plate Stresses</t>
        </is>
      </c>
      <c r="T848" t="inlineStr">
        <is>
          <t>none</t>
        </is>
      </c>
      <c r="Z848">
        <f>IF(OR(K438="",K438="TABLE"),"",
_xlfn.TEXTJOIN(", ",TRUE,
IF(E438&lt;&gt;"",E438&amp;K438,""),
IF(F438&lt;&gt;"",F438&amp;K438,""),
IF(G438&lt;&gt;"",G438&amp;K438,"")
))</f>
        <v/>
      </c>
      <c r="AA848">
        <f>IF(K438="","",IF(K438="TABLE","",K438))</f>
        <v/>
      </c>
      <c r="AB848">
        <f>IF(ISNUMBER(SEARCH("기존변경필요",SUBSTITUTE(TRIM(V438),CHAR(10)," "))),"",
IFERROR(
  _xlfn.XLOOKUP(AA438,'기존 end point'!B:B,'기존 end point'!B:B,,0),
""))</f>
        <v/>
      </c>
    </row>
    <row r="849" hidden="1">
      <c r="A849" t="n">
        <v>437</v>
      </c>
      <c r="B849" t="inlineStr">
        <is>
          <t>civil-nx/gen-nx</t>
        </is>
      </c>
      <c r="C849" t="inlineStr">
        <is>
          <t>Analysis Result</t>
        </is>
      </c>
      <c r="D849" t="inlineStr">
        <is>
          <t>Result Diagram</t>
        </is>
      </c>
      <c r="E849" t="inlineStr">
        <is>
          <t>Stresses</t>
        </is>
      </c>
      <c r="F849" t="inlineStr">
        <is>
          <t>Plane Strain Stresses</t>
        </is>
      </c>
      <c r="T849" t="inlineStr">
        <is>
          <t>none</t>
        </is>
      </c>
      <c r="Z849">
        <f>IF(OR(K439="",K439="TABLE"),"",
_xlfn.TEXTJOIN(", ",TRUE,
IF(E439&lt;&gt;"",E439&amp;K439,""),
IF(F439&lt;&gt;"",F439&amp;K439,""),
IF(G439&lt;&gt;"",G439&amp;K439,"")
))</f>
        <v/>
      </c>
      <c r="AA849">
        <f>IF(K439="","",IF(K439="TABLE","",K439))</f>
        <v/>
      </c>
      <c r="AB849">
        <f>IF(ISNUMBER(SEARCH("기존변경필요",SUBSTITUTE(TRIM(V439),CHAR(10)," "))),"",
IFERROR(
  _xlfn.XLOOKUP(AA439,'기존 end point'!B:B,'기존 end point'!B:B,,0),
""))</f>
        <v/>
      </c>
    </row>
    <row r="850" hidden="1">
      <c r="A850" t="n">
        <v>438</v>
      </c>
      <c r="B850" t="inlineStr">
        <is>
          <t>civil-nx/gen-nx</t>
        </is>
      </c>
      <c r="C850" t="inlineStr">
        <is>
          <t>Analysis Result</t>
        </is>
      </c>
      <c r="D850" t="inlineStr">
        <is>
          <t>Result Diagram</t>
        </is>
      </c>
      <c r="E850" t="inlineStr">
        <is>
          <t>Stresses</t>
        </is>
      </c>
      <c r="F850" t="inlineStr">
        <is>
          <t>Axisymmetric Stresses</t>
        </is>
      </c>
      <c r="T850" t="inlineStr">
        <is>
          <t>none</t>
        </is>
      </c>
      <c r="Z850">
        <f>IF(OR(K440="",K440="TABLE"),"",
_xlfn.TEXTJOIN(", ",TRUE,
IF(E440&lt;&gt;"",E440&amp;K440,""),
IF(F440&lt;&gt;"",F440&amp;K440,""),
IF(G440&lt;&gt;"",G440&amp;K440,"")
))</f>
        <v/>
      </c>
      <c r="AA850">
        <f>IF(K440="","",IF(K440="TABLE","",K440))</f>
        <v/>
      </c>
      <c r="AB850">
        <f>IF(ISNUMBER(SEARCH("기존변경필요",SUBSTITUTE(TRIM(V440),CHAR(10)," "))),"",
IFERROR(
  _xlfn.XLOOKUP(AA440,'기존 end point'!B:B,'기존 end point'!B:B,,0),
""))</f>
        <v/>
      </c>
    </row>
    <row r="851" hidden="1">
      <c r="A851" t="n">
        <v>439</v>
      </c>
      <c r="B851" t="inlineStr">
        <is>
          <t>civil-nx/gen-nx</t>
        </is>
      </c>
      <c r="C851" t="inlineStr">
        <is>
          <t>Analysis Result</t>
        </is>
      </c>
      <c r="D851" t="inlineStr">
        <is>
          <t>Result Diagram</t>
        </is>
      </c>
      <c r="E851" t="inlineStr">
        <is>
          <t>Stresses</t>
        </is>
      </c>
      <c r="F851" t="inlineStr">
        <is>
          <t>Solid Stresses</t>
        </is>
      </c>
      <c r="T851" t="inlineStr">
        <is>
          <t>none</t>
        </is>
      </c>
      <c r="Z851">
        <f>IF(OR(K441="",K441="TABLE"),"",
_xlfn.TEXTJOIN(", ",TRUE,
IF(E441&lt;&gt;"",E441&amp;K441,""),
IF(F441&lt;&gt;"",F441&amp;K441,""),
IF(G441&lt;&gt;"",G441&amp;K441,"")
))</f>
        <v/>
      </c>
      <c r="AA851">
        <f>IF(K441="","",IF(K441="TABLE","",K441))</f>
        <v/>
      </c>
      <c r="AB851">
        <f>IF(ISNUMBER(SEARCH("기존변경필요",SUBSTITUTE(TRIM(V441),CHAR(10)," "))),"",
IFERROR(
  _xlfn.XLOOKUP(AA441,'기존 end point'!B:B,'기존 end point'!B:B,,0),
""))</f>
        <v/>
      </c>
    </row>
    <row r="852" hidden="1">
      <c r="A852" t="n">
        <v>440</v>
      </c>
      <c r="B852" t="inlineStr">
        <is>
          <t>civil-nx/gen-nx</t>
        </is>
      </c>
      <c r="C852" t="inlineStr">
        <is>
          <t>Analysis Result</t>
        </is>
      </c>
      <c r="D852" t="inlineStr">
        <is>
          <t>Result Diagram</t>
        </is>
      </c>
      <c r="E852" t="inlineStr">
        <is>
          <t>Diagram</t>
        </is>
      </c>
      <c r="F852" t="inlineStr">
        <is>
          <t>Define Diagram</t>
        </is>
      </c>
      <c r="T852" t="inlineStr">
        <is>
          <t>none</t>
        </is>
      </c>
      <c r="Z852">
        <f>IF(OR(K442="",K442="TABLE"),"",
_xlfn.TEXTJOIN(", ",TRUE,
IF(E442&lt;&gt;"",E442&amp;K442,""),
IF(F442&lt;&gt;"",F442&amp;K442,""),
IF(G442&lt;&gt;"",G442&amp;K442,"")
))</f>
        <v/>
      </c>
      <c r="AA852">
        <f>IF(K442="","",IF(K442="TABLE","",K442))</f>
        <v/>
      </c>
      <c r="AB852">
        <f>IF(ISNUMBER(SEARCH("기존변경필요",SUBSTITUTE(TRIM(V442),CHAR(10)," "))),"",
IFERROR(
  _xlfn.XLOOKUP(AA442,'기존 end point'!B:B,'기존 end point'!B:B,,0),
""))</f>
        <v/>
      </c>
    </row>
    <row r="853" hidden="1">
      <c r="A853" t="n">
        <v>441</v>
      </c>
      <c r="B853" t="inlineStr">
        <is>
          <t>civil-nx/gen-nx</t>
        </is>
      </c>
      <c r="C853" t="inlineStr">
        <is>
          <t>Analysis Result</t>
        </is>
      </c>
      <c r="D853" t="inlineStr">
        <is>
          <t>Result Diagram</t>
        </is>
      </c>
      <c r="E853" t="inlineStr">
        <is>
          <t>Diagram</t>
        </is>
      </c>
      <c r="F853" t="inlineStr">
        <is>
          <t>Plot Diagram</t>
        </is>
      </c>
      <c r="T853" t="inlineStr">
        <is>
          <t>none</t>
        </is>
      </c>
      <c r="Z853">
        <f>IF(OR(K443="",K443="TABLE"),"",
_xlfn.TEXTJOIN(", ",TRUE,
IF(E443&lt;&gt;"",E443&amp;K443,""),
IF(F443&lt;&gt;"",F443&amp;K443,""),
IF(G443&lt;&gt;"",G443&amp;K443,"")
))</f>
        <v/>
      </c>
      <c r="AA853">
        <f>IF(K443="","",IF(K443="TABLE","",K443))</f>
        <v/>
      </c>
      <c r="AB853">
        <f>IF(ISNUMBER(SEARCH("기존변경필요",SUBSTITUTE(TRIM(V443),CHAR(10)," "))),"",
IFERROR(
  _xlfn.XLOOKUP(AA443,'기존 end point'!B:B,'기존 end point'!B:B,,0),
""))</f>
        <v/>
      </c>
    </row>
    <row r="854" hidden="1">
      <c r="A854" t="n">
        <v>442</v>
      </c>
      <c r="B854" t="inlineStr">
        <is>
          <t>civil-nx/gen-nx</t>
        </is>
      </c>
      <c r="C854" t="inlineStr">
        <is>
          <t>Analysis Result</t>
        </is>
      </c>
      <c r="D854" t="inlineStr">
        <is>
          <t>Detail Result</t>
        </is>
      </c>
      <c r="E854" t="inlineStr">
        <is>
          <t>Local Direction</t>
        </is>
      </c>
      <c r="T854" t="inlineStr">
        <is>
          <t>none</t>
        </is>
      </c>
      <c r="Z854">
        <f>IF(OR(K444="",K444="TABLE"),"",
_xlfn.TEXTJOIN(", ",TRUE,
IF(E444&lt;&gt;"",E444&amp;K444,""),
IF(F444&lt;&gt;"",F444&amp;K444,""),
IF(G444&lt;&gt;"",G444&amp;K444,"")
))</f>
        <v/>
      </c>
      <c r="AA854">
        <f>IF(K444="","",IF(K444="TABLE","",K444))</f>
        <v/>
      </c>
      <c r="AB854">
        <f>IF(ISNUMBER(SEARCH("기존변경필요",SUBSTITUTE(TRIM(V444),CHAR(10)," "))),"",
IFERROR(
  _xlfn.XLOOKUP(AA444,'기존 end point'!B:B,'기존 end point'!B:B,,0),
""))</f>
        <v/>
      </c>
    </row>
    <row r="855" hidden="1">
      <c r="A855" t="n">
        <v>443</v>
      </c>
      <c r="B855" t="inlineStr">
        <is>
          <t>civil-nx/gen-nx</t>
        </is>
      </c>
      <c r="C855" t="inlineStr">
        <is>
          <t>Analysis Result</t>
        </is>
      </c>
      <c r="D855" t="inlineStr">
        <is>
          <t>Detail Result</t>
        </is>
      </c>
      <c r="E855" t="inlineStr">
        <is>
          <t>Beam/Element</t>
        </is>
      </c>
      <c r="F855" t="inlineStr">
        <is>
          <t>Beam Detail Analysis</t>
        </is>
      </c>
      <c r="T855" t="inlineStr">
        <is>
          <t>none</t>
        </is>
      </c>
      <c r="Z855">
        <f>IF(OR(K445="",K445="TABLE"),"",
_xlfn.TEXTJOIN(", ",TRUE,
IF(E445&lt;&gt;"",E445&amp;K445,""),
IF(F445&lt;&gt;"",F445&amp;K445,""),
IF(G445&lt;&gt;"",G445&amp;K445,"")
))</f>
        <v/>
      </c>
      <c r="AA855">
        <f>IF(K445="","",IF(K445="TABLE","",K445))</f>
        <v/>
      </c>
      <c r="AB855">
        <f>IF(ISNUMBER(SEARCH("기존변경필요",SUBSTITUTE(TRIM(V445),CHAR(10)," "))),"",
IFERROR(
  _xlfn.XLOOKUP(AA445,'기존 end point'!B:B,'기존 end point'!B:B,,0),
""))</f>
        <v/>
      </c>
    </row>
    <row r="856" hidden="1">
      <c r="A856" t="n">
        <v>444</v>
      </c>
      <c r="B856" t="inlineStr">
        <is>
          <t>civil-nx/gen-nx</t>
        </is>
      </c>
      <c r="C856" t="inlineStr">
        <is>
          <t>Analysis Result</t>
        </is>
      </c>
      <c r="D856" t="inlineStr">
        <is>
          <t>Detail Result</t>
        </is>
      </c>
      <c r="E856" t="inlineStr">
        <is>
          <t>Beam/Element</t>
        </is>
      </c>
      <c r="F856" t="inlineStr">
        <is>
          <t>Element Detail Result</t>
        </is>
      </c>
      <c r="T856" t="inlineStr">
        <is>
          <t>none</t>
        </is>
      </c>
      <c r="Z856">
        <f>IF(OR(K446="",K446="TABLE"),"",
_xlfn.TEXTJOIN(", ",TRUE,
IF(E446&lt;&gt;"",E446&amp;K446,""),
IF(F446&lt;&gt;"",F446&amp;K446,""),
IF(G446&lt;&gt;"",G446&amp;K446,"")
))</f>
        <v/>
      </c>
      <c r="AA856">
        <f>IF(K446="","",IF(K446="TABLE","",K446))</f>
        <v/>
      </c>
      <c r="AB856">
        <f>IF(ISNUMBER(SEARCH("기존변경필요",SUBSTITUTE(TRIM(V446),CHAR(10)," "))),"",
IFERROR(
  _xlfn.XLOOKUP(AA446,'기존 end point'!B:B,'기존 end point'!B:B,,0),
""))</f>
        <v/>
      </c>
    </row>
    <row r="857" hidden="1">
      <c r="A857" t="n">
        <v>445</v>
      </c>
      <c r="B857" t="inlineStr">
        <is>
          <t>gen-nx</t>
        </is>
      </c>
      <c r="C857" t="inlineStr">
        <is>
          <t>Analysis Result</t>
        </is>
      </c>
      <c r="D857" t="inlineStr">
        <is>
          <t>Detail Result</t>
        </is>
      </c>
      <c r="E857" t="inlineStr">
        <is>
          <t>Advanced</t>
        </is>
      </c>
      <c r="F857" t="inlineStr">
        <is>
          <t>Displacement Participation Factor</t>
        </is>
      </c>
      <c r="T857" t="inlineStr">
        <is>
          <t>none</t>
        </is>
      </c>
      <c r="Z857">
        <f>IF(OR(K447="",K447="TABLE"),"",
_xlfn.TEXTJOIN(", ",TRUE,
IF(E447&lt;&gt;"",E447&amp;K447,""),
IF(F447&lt;&gt;"",F447&amp;K447,""),
IF(G447&lt;&gt;"",G447&amp;K447,"")
))</f>
        <v/>
      </c>
      <c r="AA857">
        <f>IF(K447="","",IF(K447="TABLE","",K447))</f>
        <v/>
      </c>
      <c r="AB857">
        <f>IF(ISNUMBER(SEARCH("기존변경필요",SUBSTITUTE(TRIM(V447),CHAR(10)," "))),"",
IFERROR(
  _xlfn.XLOOKUP(AA447,'기존 end point'!B:B,'기존 end point'!B:B,,0),
""))</f>
        <v/>
      </c>
    </row>
    <row r="858" hidden="1">
      <c r="A858" t="n">
        <v>446</v>
      </c>
      <c r="B858" t="inlineStr">
        <is>
          <t>gen-nx</t>
        </is>
      </c>
      <c r="C858" t="inlineStr">
        <is>
          <t>Analysis Result</t>
        </is>
      </c>
      <c r="D858" t="inlineStr">
        <is>
          <t>Detail Result</t>
        </is>
      </c>
      <c r="E858" t="inlineStr">
        <is>
          <t>Advanced</t>
        </is>
      </c>
      <c r="F858" t="inlineStr">
        <is>
          <t>Story Shear Force Ratio</t>
        </is>
      </c>
      <c r="T858" t="inlineStr">
        <is>
          <t>none</t>
        </is>
      </c>
      <c r="Z858">
        <f>IF(OR(K448="",K448="TABLE"),"",
_xlfn.TEXTJOIN(", ",TRUE,
IF(E448&lt;&gt;"",E448&amp;K448,""),
IF(F448&lt;&gt;"",F448&amp;K448,""),
IF(G448&lt;&gt;"",G448&amp;K448,"")
))</f>
        <v/>
      </c>
      <c r="AA858">
        <f>IF(K448="","",IF(K448="TABLE","",K448))</f>
        <v/>
      </c>
      <c r="AB858">
        <f>IF(ISNUMBER(SEARCH("기존변경필요",SUBSTITUTE(TRIM(V448),CHAR(10)," "))),"",
IFERROR(
  _xlfn.XLOOKUP(AA448,'기존 end point'!B:B,'기존 end point'!B:B,,0),
""))</f>
        <v/>
      </c>
    </row>
    <row r="859" hidden="1">
      <c r="A859" t="n">
        <v>447</v>
      </c>
      <c r="B859" t="inlineStr">
        <is>
          <t>gen-nx</t>
        </is>
      </c>
      <c r="C859" t="inlineStr">
        <is>
          <t>Analysis Result</t>
        </is>
      </c>
      <c r="D859" t="inlineStr">
        <is>
          <t>Detail Result</t>
        </is>
      </c>
      <c r="E859" t="inlineStr">
        <is>
          <t>Advanced</t>
        </is>
      </c>
      <c r="F859" t="inlineStr">
        <is>
          <t>Unknown Load Factor</t>
        </is>
      </c>
      <c r="T859" t="inlineStr">
        <is>
          <t>none</t>
        </is>
      </c>
      <c r="Z859">
        <f>IF(OR(K449="",K449="TABLE"),"",
_xlfn.TEXTJOIN(", ",TRUE,
IF(E449&lt;&gt;"",E449&amp;K449,""),
IF(F449&lt;&gt;"",F449&amp;K449,""),
IF(G449&lt;&gt;"",G449&amp;K449,"")
))</f>
        <v/>
      </c>
      <c r="AA859">
        <f>IF(K449="","",IF(K449="TABLE","",K449))</f>
        <v/>
      </c>
      <c r="AB859">
        <f>IF(ISNUMBER(SEARCH("기존변경필요",SUBSTITUTE(TRIM(V449),CHAR(10)," "))),"",
IFERROR(
  _xlfn.XLOOKUP(AA449,'기존 end point'!B:B,'기존 end point'!B:B,,0),
""))</f>
        <v/>
      </c>
    </row>
    <row r="860" hidden="1">
      <c r="A860" t="n">
        <v>448</v>
      </c>
      <c r="B860" t="inlineStr">
        <is>
          <t>civil-nx/gen-nx</t>
        </is>
      </c>
      <c r="C860" t="inlineStr">
        <is>
          <t>Analysis Result</t>
        </is>
      </c>
      <c r="D860" t="inlineStr">
        <is>
          <t>Dynamic</t>
        </is>
      </c>
      <c r="E860" t="inlineStr">
        <is>
          <t>Mode Shapes</t>
        </is>
      </c>
      <c r="F860" t="inlineStr">
        <is>
          <t>Vibration Mode Shapes</t>
        </is>
      </c>
      <c r="T860" t="inlineStr">
        <is>
          <t>none</t>
        </is>
      </c>
      <c r="Z860">
        <f>IF(OR(K450="",K450="TABLE"),"",
_xlfn.TEXTJOIN(", ",TRUE,
IF(E450&lt;&gt;"",E450&amp;K450,""),
IF(F450&lt;&gt;"",F450&amp;K450,""),
IF(G450&lt;&gt;"",G450&amp;K450,"")
))</f>
        <v/>
      </c>
      <c r="AA860">
        <f>IF(K450="","",IF(K450="TABLE","",K450))</f>
        <v/>
      </c>
      <c r="AB860">
        <f>IF(ISNUMBER(SEARCH("기존변경필요",SUBSTITUTE(TRIM(V450),CHAR(10)," "))),"",
IFERROR(
  _xlfn.XLOOKUP(AA450,'기존 end point'!B:B,'기존 end point'!B:B,,0),
""))</f>
        <v/>
      </c>
    </row>
    <row r="861" hidden="1">
      <c r="A861" t="n">
        <v>449</v>
      </c>
      <c r="B861" t="inlineStr">
        <is>
          <t>civil-nx/gen-nx</t>
        </is>
      </c>
      <c r="C861" t="inlineStr">
        <is>
          <t>Analysis Result</t>
        </is>
      </c>
      <c r="D861" t="inlineStr">
        <is>
          <t>Dynamic</t>
        </is>
      </c>
      <c r="E861" t="inlineStr">
        <is>
          <t>Mode Shapes</t>
        </is>
      </c>
      <c r="F861" t="inlineStr">
        <is>
          <t>Buckling Mode Shapes</t>
        </is>
      </c>
      <c r="T861" t="inlineStr">
        <is>
          <t>none</t>
        </is>
      </c>
      <c r="Z861">
        <f>IF(OR(K451="",K451="TABLE"),"",
_xlfn.TEXTJOIN(", ",TRUE,
IF(E451&lt;&gt;"",E451&amp;K451,""),
IF(F451&lt;&gt;"",F451&amp;K451,""),
IF(G451&lt;&gt;"",G451&amp;K451,"")
))</f>
        <v/>
      </c>
      <c r="AA861">
        <f>IF(K451="","",IF(K451="TABLE","",K451))</f>
        <v/>
      </c>
      <c r="AB861">
        <f>IF(ISNUMBER(SEARCH("기존변경필요",SUBSTITUTE(TRIM(V451),CHAR(10)," "))),"",
IFERROR(
  _xlfn.XLOOKUP(AA451,'기존 end point'!B:B,'기존 end point'!B:B,,0),
""))</f>
        <v/>
      </c>
    </row>
    <row r="862" hidden="1">
      <c r="A862" t="n">
        <v>450</v>
      </c>
      <c r="B862" t="inlineStr">
        <is>
          <t>civil-nx/gen-nx</t>
        </is>
      </c>
      <c r="C862" t="inlineStr">
        <is>
          <t>Analysis Result</t>
        </is>
      </c>
      <c r="D862" t="inlineStr">
        <is>
          <t>Dynamic</t>
        </is>
      </c>
      <c r="E862" t="inlineStr">
        <is>
          <t>Modal Damping Ratio</t>
        </is>
      </c>
      <c r="T862" t="inlineStr">
        <is>
          <t>none</t>
        </is>
      </c>
      <c r="Z862">
        <f>IF(OR(K452="",K452="TABLE"),"",
_xlfn.TEXTJOIN(", ",TRUE,
IF(E452&lt;&gt;"",E452&amp;K452,""),
IF(F452&lt;&gt;"",F452&amp;K452,""),
IF(G452&lt;&gt;"",G452&amp;K452,"")
))</f>
        <v/>
      </c>
      <c r="AA862">
        <f>IF(K452="","",IF(K452="TABLE","",K452))</f>
        <v/>
      </c>
      <c r="AB862">
        <f>IF(ISNUMBER(SEARCH("기존변경필요",SUBSTITUTE(TRIM(V452),CHAR(10)," "))),"",
IFERROR(
  _xlfn.XLOOKUP(AA452,'기존 end point'!B:B,'기존 end point'!B:B,,0),
""))</f>
        <v/>
      </c>
    </row>
    <row r="863" hidden="1">
      <c r="A863" t="n">
        <v>451</v>
      </c>
      <c r="B863" t="inlineStr">
        <is>
          <t>civil-nx/gen-nx</t>
        </is>
      </c>
      <c r="C863" t="inlineStr">
        <is>
          <t>Analysis Result</t>
        </is>
      </c>
      <c r="D863" t="inlineStr">
        <is>
          <t>Dynamic</t>
        </is>
      </c>
      <c r="E863" t="inlineStr">
        <is>
          <t>Nodal Results</t>
        </is>
      </c>
      <c r="T863" t="inlineStr">
        <is>
          <t>none</t>
        </is>
      </c>
      <c r="Z863">
        <f>IF(OR(K453="",K453="TABLE"),"",
_xlfn.TEXTJOIN(", ",TRUE,
IF(E453&lt;&gt;"",E453&amp;K453,""),
IF(F453&lt;&gt;"",F453&amp;K453,""),
IF(G453&lt;&gt;"",G453&amp;K453,"")
))</f>
        <v/>
      </c>
      <c r="AA863">
        <f>IF(K453="","",IF(K453="TABLE","",K453))</f>
        <v/>
      </c>
      <c r="AB863">
        <f>IF(ISNUMBER(SEARCH("기존변경필요",SUBSTITUTE(TRIM(V453),CHAR(10)," "))),"",
IFERROR(
  _xlfn.XLOOKUP(AA453,'기존 end point'!B:B,'기존 end point'!B:B,,0),
""))</f>
        <v/>
      </c>
    </row>
    <row r="864" hidden="1">
      <c r="A864" t="n">
        <v>452</v>
      </c>
      <c r="B864" t="inlineStr">
        <is>
          <t>gen-nx</t>
        </is>
      </c>
      <c r="C864" t="inlineStr">
        <is>
          <t>Analysis Result</t>
        </is>
      </c>
      <c r="D864" t="inlineStr">
        <is>
          <t>C.S/Nonlinear</t>
        </is>
      </c>
      <c r="E864" t="inlineStr">
        <is>
          <t>Column Shortening Graph for C.S</t>
        </is>
      </c>
      <c r="T864" t="inlineStr">
        <is>
          <t>none</t>
        </is>
      </c>
      <c r="Z864">
        <f>IF(OR(K454="",K454="TABLE"),"",
_xlfn.TEXTJOIN(", ",TRUE,
IF(E454&lt;&gt;"",E454&amp;K454,""),
IF(F454&lt;&gt;"",F454&amp;K454,""),
IF(G454&lt;&gt;"",G454&amp;K454,"")
))</f>
        <v/>
      </c>
      <c r="AA864">
        <f>IF(K454="","",IF(K454="TABLE","",K454))</f>
        <v/>
      </c>
      <c r="AB864">
        <f>IF(ISNUMBER(SEARCH("기존변경필요",SUBSTITUTE(TRIM(V454),CHAR(10)," "))),"",
IFERROR(
  _xlfn.XLOOKUP(AA454,'기존 end point'!B:B,'기존 end point'!B:B,,0),
""))</f>
        <v/>
      </c>
    </row>
    <row r="865" hidden="1">
      <c r="A865" t="n">
        <v>453</v>
      </c>
      <c r="B865" t="inlineStr">
        <is>
          <t>civil-nx/gen-nx</t>
        </is>
      </c>
      <c r="C865" t="inlineStr">
        <is>
          <t>Analysis Result</t>
        </is>
      </c>
      <c r="D865" t="inlineStr">
        <is>
          <t>C.S/Nonlinear</t>
        </is>
      </c>
      <c r="E865" t="inlineStr">
        <is>
          <t>Stage/Step Graph</t>
        </is>
      </c>
      <c r="T865" t="inlineStr">
        <is>
          <t>none</t>
        </is>
      </c>
      <c r="Z865">
        <f>IF(OR(K455="",K455="TABLE"),"",
_xlfn.TEXTJOIN(", ",TRUE,
IF(E455&lt;&gt;"",E455&amp;K455,""),
IF(F455&lt;&gt;"",F455&amp;K455,""),
IF(G455&lt;&gt;"",G455&amp;K455,"")
))</f>
        <v/>
      </c>
      <c r="AA865">
        <f>IF(K455="","",IF(K455="TABLE","",K455))</f>
        <v/>
      </c>
      <c r="AB865">
        <f>IF(ISNUMBER(SEARCH("기존변경필요",SUBSTITUTE(TRIM(V455),CHAR(10)," "))),"",
IFERROR(
  _xlfn.XLOOKUP(AA455,'기존 end point'!B:B,'기존 end point'!B:B,,0),
""))</f>
        <v/>
      </c>
    </row>
    <row r="866" hidden="1">
      <c r="A866" t="n">
        <v>454</v>
      </c>
      <c r="B866" t="inlineStr">
        <is>
          <t>gen-nx</t>
        </is>
      </c>
      <c r="C866" t="inlineStr">
        <is>
          <t>Analysis Result</t>
        </is>
      </c>
      <c r="D866" t="inlineStr">
        <is>
          <t>C.S/Nonlinear</t>
        </is>
      </c>
      <c r="E866" t="inlineStr">
        <is>
          <t>Tendon Loss Graph</t>
        </is>
      </c>
      <c r="T866" t="inlineStr">
        <is>
          <t>none</t>
        </is>
      </c>
      <c r="Z866">
        <f>IF(OR(K456="",K456="TABLE"),"",
_xlfn.TEXTJOIN(", ",TRUE,
IF(E456&lt;&gt;"",E456&amp;K456,""),
IF(F456&lt;&gt;"",F456&amp;K456,""),
IF(G456&lt;&gt;"",G456&amp;K456,"")
))</f>
        <v/>
      </c>
      <c r="AA866">
        <f>IF(K456="","",IF(K456="TABLE","",K456))</f>
        <v/>
      </c>
      <c r="AB866">
        <f>IF(ISNUMBER(SEARCH("기존변경필요",SUBSTITUTE(TRIM(V456),CHAR(10)," "))),"",
IFERROR(
  _xlfn.XLOOKUP(AA456,'기존 end point'!B:B,'기존 end point'!B:B,,0),
""))</f>
        <v/>
      </c>
    </row>
    <row r="867" hidden="1">
      <c r="A867" t="n">
        <v>455</v>
      </c>
      <c r="B867" t="inlineStr">
        <is>
          <t>civil-nx/gen-nx</t>
        </is>
      </c>
      <c r="C867" t="inlineStr">
        <is>
          <t>Analysis Result</t>
        </is>
      </c>
      <c r="D867" t="inlineStr">
        <is>
          <t>C.S/Nonlinear</t>
        </is>
      </c>
      <c r="E867" t="inlineStr">
        <is>
          <t>Strain</t>
        </is>
      </c>
      <c r="F867" t="inlineStr">
        <is>
          <t>Plate Strains</t>
        </is>
      </c>
      <c r="T867" t="inlineStr">
        <is>
          <t>none</t>
        </is>
      </c>
      <c r="Z867">
        <f>IF(OR(K457="",K457="TABLE"),"",
_xlfn.TEXTJOIN(", ",TRUE,
IF(E457&lt;&gt;"",E457&amp;K457,""),
IF(F457&lt;&gt;"",F457&amp;K457,""),
IF(G457&lt;&gt;"",G457&amp;K457,"")
))</f>
        <v/>
      </c>
      <c r="AA867">
        <f>IF(K457="","",IF(K457="TABLE","",K457))</f>
        <v/>
      </c>
      <c r="AB867">
        <f>IF(ISNUMBER(SEARCH("기존변경필요",SUBSTITUTE(TRIM(V457),CHAR(10)," "))),"",
IFERROR(
  _xlfn.XLOOKUP(AA457,'기존 end point'!B:B,'기존 end point'!B:B,,0),
""))</f>
        <v/>
      </c>
    </row>
    <row r="868" hidden="1">
      <c r="A868" t="n">
        <v>456</v>
      </c>
      <c r="B868" t="inlineStr">
        <is>
          <t>civil-nx/gen-nx</t>
        </is>
      </c>
      <c r="C868" t="inlineStr">
        <is>
          <t>Analysis Result</t>
        </is>
      </c>
      <c r="D868" t="inlineStr">
        <is>
          <t>C.S/Nonlinear</t>
        </is>
      </c>
      <c r="E868" t="inlineStr">
        <is>
          <t>Strain</t>
        </is>
      </c>
      <c r="F868" t="inlineStr">
        <is>
          <t>Solid Strains</t>
        </is>
      </c>
      <c r="T868" t="inlineStr">
        <is>
          <t>none</t>
        </is>
      </c>
      <c r="Z868">
        <f>IF(OR(K458="",K458="TABLE"),"",
_xlfn.TEXTJOIN(", ",TRUE,
IF(E458&lt;&gt;"",E458&amp;K458,""),
IF(F458&lt;&gt;"",F458&amp;K458,""),
IF(G458&lt;&gt;"",G458&amp;K458,"")
))</f>
        <v/>
      </c>
      <c r="AA868">
        <f>IF(K458="","",IF(K458="TABLE","",K458))</f>
        <v/>
      </c>
      <c r="AB868">
        <f>IF(ISNUMBER(SEARCH("기존변경필요",SUBSTITUTE(TRIM(V458),CHAR(10)," "))),"",
IFERROR(
  _xlfn.XLOOKUP(AA458,'기존 end point'!B:B,'기존 end point'!B:B,,0),
""))</f>
        <v/>
      </c>
    </row>
    <row r="869" hidden="1">
      <c r="A869" t="n">
        <v>457</v>
      </c>
      <c r="B869" t="inlineStr">
        <is>
          <t>civil-nx/gen-nx</t>
        </is>
      </c>
      <c r="C869" t="inlineStr">
        <is>
          <t>Analysis Result</t>
        </is>
      </c>
      <c r="D869" t="inlineStr">
        <is>
          <t>Moving Load</t>
        </is>
      </c>
      <c r="E869" t="inlineStr">
        <is>
          <t>Influ. Lines</t>
        </is>
      </c>
      <c r="F869" t="inlineStr">
        <is>
          <t>Reactions</t>
        </is>
      </c>
      <c r="T869" t="inlineStr">
        <is>
          <t>none</t>
        </is>
      </c>
      <c r="Z869">
        <f>IF(OR(K459="",K459="TABLE"),"",
_xlfn.TEXTJOIN(", ",TRUE,
IF(E459&lt;&gt;"",E459&amp;K459,""),
IF(F459&lt;&gt;"",F459&amp;K459,""),
IF(G459&lt;&gt;"",G459&amp;K459,"")
))</f>
        <v/>
      </c>
      <c r="AA869">
        <f>IF(K459="","",IF(K459="TABLE","",K459))</f>
        <v/>
      </c>
      <c r="AB869">
        <f>IF(ISNUMBER(SEARCH("기존변경필요",SUBSTITUTE(TRIM(V459),CHAR(10)," "))),"",
IFERROR(
  _xlfn.XLOOKUP(AA459,'기존 end point'!B:B,'기존 end point'!B:B,,0),
""))</f>
        <v/>
      </c>
    </row>
    <row r="870" hidden="1">
      <c r="A870" t="n">
        <v>458</v>
      </c>
      <c r="B870" t="inlineStr">
        <is>
          <t>civil-nx/gen-nx</t>
        </is>
      </c>
      <c r="C870" t="inlineStr">
        <is>
          <t>Analysis Result</t>
        </is>
      </c>
      <c r="D870" t="inlineStr">
        <is>
          <t>Moving Load</t>
        </is>
      </c>
      <c r="E870" t="inlineStr">
        <is>
          <t>Influ. Lines</t>
        </is>
      </c>
      <c r="F870" t="inlineStr">
        <is>
          <t>Displacements</t>
        </is>
      </c>
      <c r="T870" t="inlineStr">
        <is>
          <t>none</t>
        </is>
      </c>
      <c r="Z870">
        <f>IF(OR(K460="",K460="TABLE"),"",
_xlfn.TEXTJOIN(", ",TRUE,
IF(E460&lt;&gt;"",E460&amp;K460,""),
IF(F460&lt;&gt;"",F460&amp;K460,""),
IF(G460&lt;&gt;"",G460&amp;K460,"")
))</f>
        <v/>
      </c>
      <c r="AA870">
        <f>IF(K460="","",IF(K460="TABLE","",K460))</f>
        <v/>
      </c>
      <c r="AB870">
        <f>IF(ISNUMBER(SEARCH("기존변경필요",SUBSTITUTE(TRIM(V460),CHAR(10)," "))),"",
IFERROR(
  _xlfn.XLOOKUP(AA460,'기존 end point'!B:B,'기존 end point'!B:B,,0),
""))</f>
        <v/>
      </c>
    </row>
    <row r="871" hidden="1">
      <c r="A871" t="n">
        <v>459</v>
      </c>
      <c r="B871" t="inlineStr">
        <is>
          <t>civil-nx/gen-nx</t>
        </is>
      </c>
      <c r="C871" t="inlineStr">
        <is>
          <t>Analysis Result</t>
        </is>
      </c>
      <c r="D871" t="inlineStr">
        <is>
          <t>Moving Load</t>
        </is>
      </c>
      <c r="E871" t="inlineStr">
        <is>
          <t>Influ. Lines</t>
        </is>
      </c>
      <c r="F871" t="inlineStr">
        <is>
          <t>Truss Forces</t>
        </is>
      </c>
      <c r="T871" t="inlineStr">
        <is>
          <t>none</t>
        </is>
      </c>
      <c r="Z871">
        <f>IF(OR(K461="",K461="TABLE"),"",
_xlfn.TEXTJOIN(", ",TRUE,
IF(E461&lt;&gt;"",E461&amp;K461,""),
IF(F461&lt;&gt;"",F461&amp;K461,""),
IF(G461&lt;&gt;"",G461&amp;K461,"")
))</f>
        <v/>
      </c>
      <c r="AA871">
        <f>IF(K461="","",IF(K461="TABLE","",K461))</f>
        <v/>
      </c>
      <c r="AB871">
        <f>IF(ISNUMBER(SEARCH("기존변경필요",SUBSTITUTE(TRIM(V461),CHAR(10)," "))),"",
IFERROR(
  _xlfn.XLOOKUP(AA461,'기존 end point'!B:B,'기존 end point'!B:B,,0),
""))</f>
        <v/>
      </c>
    </row>
    <row r="872" hidden="1">
      <c r="A872" t="n">
        <v>460</v>
      </c>
      <c r="B872" t="inlineStr">
        <is>
          <t>civil-nx/gen-nx</t>
        </is>
      </c>
      <c r="C872" t="inlineStr">
        <is>
          <t>Analysis Result</t>
        </is>
      </c>
      <c r="D872" t="inlineStr">
        <is>
          <t>Moving Load</t>
        </is>
      </c>
      <c r="E872" t="inlineStr">
        <is>
          <t>Influ. Lines</t>
        </is>
      </c>
      <c r="F872" t="inlineStr">
        <is>
          <t>Beam Forces/Moments</t>
        </is>
      </c>
      <c r="T872" t="inlineStr">
        <is>
          <t>none</t>
        </is>
      </c>
      <c r="Z872">
        <f>IF(OR(K462="",K462="TABLE"),"",
_xlfn.TEXTJOIN(", ",TRUE,
IF(E462&lt;&gt;"",E462&amp;K462,""),
IF(F462&lt;&gt;"",F462&amp;K462,""),
IF(G462&lt;&gt;"",G462&amp;K462,"")
))</f>
        <v/>
      </c>
      <c r="AA872">
        <f>IF(K462="","",IF(K462="TABLE","",K462))</f>
        <v/>
      </c>
      <c r="AB872">
        <f>IF(ISNUMBER(SEARCH("기존변경필요",SUBSTITUTE(TRIM(V462),CHAR(10)," "))),"",
IFERROR(
  _xlfn.XLOOKUP(AA462,'기존 end point'!B:B,'기존 end point'!B:B,,0),
""))</f>
        <v/>
      </c>
    </row>
    <row r="873" hidden="1">
      <c r="A873" t="n">
        <v>461</v>
      </c>
      <c r="B873" t="inlineStr">
        <is>
          <t>civil-nx/gen-nx</t>
        </is>
      </c>
      <c r="C873" t="inlineStr">
        <is>
          <t>Analysis Result</t>
        </is>
      </c>
      <c r="D873" t="inlineStr">
        <is>
          <t>Moving Load</t>
        </is>
      </c>
      <c r="E873" t="inlineStr">
        <is>
          <t>Influ. Lines</t>
        </is>
      </c>
      <c r="F873" t="inlineStr">
        <is>
          <t>Plate Forces/Moments</t>
        </is>
      </c>
      <c r="T873" t="inlineStr">
        <is>
          <t>none</t>
        </is>
      </c>
      <c r="Z873">
        <f>IF(OR(K463="",K463="TABLE"),"",
_xlfn.TEXTJOIN(", ",TRUE,
IF(E463&lt;&gt;"",E463&amp;K463,""),
IF(F463&lt;&gt;"",F463&amp;K463,""),
IF(G463&lt;&gt;"",G463&amp;K463,"")
))</f>
        <v/>
      </c>
      <c r="AA873">
        <f>IF(K463="","",IF(K463="TABLE","",K463))</f>
        <v/>
      </c>
      <c r="AB873">
        <f>IF(ISNUMBER(SEARCH("기존변경필요",SUBSTITUTE(TRIM(V463),CHAR(10)," "))),"",
IFERROR(
  _xlfn.XLOOKUP(AA463,'기존 end point'!B:B,'기존 end point'!B:B,,0),
""))</f>
        <v/>
      </c>
    </row>
    <row r="874" hidden="1">
      <c r="A874" t="n">
        <v>462</v>
      </c>
      <c r="B874" t="inlineStr">
        <is>
          <t>civil-nx/gen-nx</t>
        </is>
      </c>
      <c r="C874" t="inlineStr">
        <is>
          <t>Analysis Result</t>
        </is>
      </c>
      <c r="D874" t="inlineStr">
        <is>
          <t>Moving Load</t>
        </is>
      </c>
      <c r="E874" t="inlineStr">
        <is>
          <t>Influ. Lines</t>
        </is>
      </c>
      <c r="F874" t="inlineStr">
        <is>
          <t>Beam Stresses</t>
        </is>
      </c>
      <c r="T874" t="inlineStr">
        <is>
          <t>none</t>
        </is>
      </c>
      <c r="Z874">
        <f>IF(OR(K464="",K464="TABLE"),"",
_xlfn.TEXTJOIN(", ",TRUE,
IF(E464&lt;&gt;"",E464&amp;K464,""),
IF(F464&lt;&gt;"",F464&amp;K464,""),
IF(G464&lt;&gt;"",G464&amp;K464,"")
))</f>
        <v/>
      </c>
      <c r="AA874">
        <f>IF(K464="","",IF(K464="TABLE","",K464))</f>
        <v/>
      </c>
      <c r="AB874">
        <f>IF(ISNUMBER(SEARCH("기존변경필요",SUBSTITUTE(TRIM(V464),CHAR(10)," "))),"",
IFERROR(
  _xlfn.XLOOKUP(AA464,'기존 end point'!B:B,'기존 end point'!B:B,,0),
""))</f>
        <v/>
      </c>
    </row>
    <row r="875" hidden="1">
      <c r="A875" t="n">
        <v>463</v>
      </c>
      <c r="B875" t="inlineStr">
        <is>
          <t>civil-nx/gen-nx</t>
        </is>
      </c>
      <c r="C875" t="inlineStr">
        <is>
          <t>Analysis Result</t>
        </is>
      </c>
      <c r="D875" t="inlineStr">
        <is>
          <t>Moving Load</t>
        </is>
      </c>
      <c r="E875" t="inlineStr">
        <is>
          <t>Influ. Lines</t>
        </is>
      </c>
      <c r="F875" t="inlineStr">
        <is>
          <t>Solid Stresses</t>
        </is>
      </c>
      <c r="T875" t="inlineStr">
        <is>
          <t>none</t>
        </is>
      </c>
      <c r="Z875">
        <f>IF(OR(K465="",K465="TABLE"),"",
_xlfn.TEXTJOIN(", ",TRUE,
IF(E465&lt;&gt;"",E465&amp;K465,""),
IF(F465&lt;&gt;"",F465&amp;K465,""),
IF(G465&lt;&gt;"",G465&amp;K465,"")
))</f>
        <v/>
      </c>
      <c r="AA875">
        <f>IF(K465="","",IF(K465="TABLE","",K465))</f>
        <v/>
      </c>
      <c r="AB875">
        <f>IF(ISNUMBER(SEARCH("기존변경필요",SUBSTITUTE(TRIM(V465),CHAR(10)," "))),"",
IFERROR(
  _xlfn.XLOOKUP(AA465,'기존 end point'!B:B,'기존 end point'!B:B,,0),
""))</f>
        <v/>
      </c>
    </row>
    <row r="876" hidden="1">
      <c r="A876" t="n">
        <v>464</v>
      </c>
      <c r="B876" t="inlineStr">
        <is>
          <t>civil-nx/gen-nx</t>
        </is>
      </c>
      <c r="C876" t="inlineStr">
        <is>
          <t>Analysis Result</t>
        </is>
      </c>
      <c r="D876" t="inlineStr">
        <is>
          <t>Moving Load</t>
        </is>
      </c>
      <c r="E876" t="inlineStr">
        <is>
          <t>Influ. Surfaces</t>
        </is>
      </c>
      <c r="F876" t="inlineStr">
        <is>
          <t>Reactions</t>
        </is>
      </c>
      <c r="T876" t="inlineStr">
        <is>
          <t>none</t>
        </is>
      </c>
      <c r="Z876">
        <f>IF(OR(K466="",K466="TABLE"),"",
_xlfn.TEXTJOIN(", ",TRUE,
IF(E466&lt;&gt;"",E466&amp;K466,""),
IF(F466&lt;&gt;"",F466&amp;K466,""),
IF(G466&lt;&gt;"",G466&amp;K466,"")
))</f>
        <v/>
      </c>
      <c r="AA876">
        <f>IF(K466="","",IF(K466="TABLE","",K466))</f>
        <v/>
      </c>
      <c r="AB876">
        <f>IF(ISNUMBER(SEARCH("기존변경필요",SUBSTITUTE(TRIM(V466),CHAR(10)," "))),"",
IFERROR(
  _xlfn.XLOOKUP(AA466,'기존 end point'!B:B,'기존 end point'!B:B,,0),
""))</f>
        <v/>
      </c>
    </row>
    <row r="877" hidden="1">
      <c r="A877" t="n">
        <v>465</v>
      </c>
      <c r="B877" t="inlineStr">
        <is>
          <t>civil-nx/gen-nx</t>
        </is>
      </c>
      <c r="C877" t="inlineStr">
        <is>
          <t>Analysis Result</t>
        </is>
      </c>
      <c r="D877" t="inlineStr">
        <is>
          <t>Moving Load</t>
        </is>
      </c>
      <c r="E877" t="inlineStr">
        <is>
          <t>Influ. Surfaces</t>
        </is>
      </c>
      <c r="F877" t="inlineStr">
        <is>
          <t>Displacements</t>
        </is>
      </c>
      <c r="T877" t="inlineStr">
        <is>
          <t>none</t>
        </is>
      </c>
      <c r="Z877">
        <f>IF(OR(K467="",K467="TABLE"),"",
_xlfn.TEXTJOIN(", ",TRUE,
IF(E467&lt;&gt;"",E467&amp;K467,""),
IF(F467&lt;&gt;"",F467&amp;K467,""),
IF(G467&lt;&gt;"",G467&amp;K467,"")
))</f>
        <v/>
      </c>
      <c r="AA877">
        <f>IF(K467="","",IF(K467="TABLE","",K467))</f>
        <v/>
      </c>
      <c r="AB877">
        <f>IF(ISNUMBER(SEARCH("기존변경필요",SUBSTITUTE(TRIM(V467),CHAR(10)," "))),"",
IFERROR(
  _xlfn.XLOOKUP(AA467,'기존 end point'!B:B,'기존 end point'!B:B,,0),
""))</f>
        <v/>
      </c>
    </row>
    <row r="878" hidden="1">
      <c r="A878" t="n">
        <v>466</v>
      </c>
      <c r="B878" t="inlineStr">
        <is>
          <t>civil-nx/gen-nx</t>
        </is>
      </c>
      <c r="C878" t="inlineStr">
        <is>
          <t>Analysis Result</t>
        </is>
      </c>
      <c r="D878" t="inlineStr">
        <is>
          <t>Moving Load</t>
        </is>
      </c>
      <c r="E878" t="inlineStr">
        <is>
          <t>Influ. Surfaces</t>
        </is>
      </c>
      <c r="F878" t="inlineStr">
        <is>
          <t>Truss Forces</t>
        </is>
      </c>
      <c r="T878" t="inlineStr">
        <is>
          <t>none</t>
        </is>
      </c>
      <c r="Z878">
        <f>IF(OR(K468="",K468="TABLE"),"",
_xlfn.TEXTJOIN(", ",TRUE,
IF(E468&lt;&gt;"",E468&amp;K468,""),
IF(F468&lt;&gt;"",F468&amp;K468,""),
IF(G468&lt;&gt;"",G468&amp;K468,"")
))</f>
        <v/>
      </c>
      <c r="AA878">
        <f>IF(K468="","",IF(K468="TABLE","",K468))</f>
        <v/>
      </c>
      <c r="AB878">
        <f>IF(ISNUMBER(SEARCH("기존변경필요",SUBSTITUTE(TRIM(V468),CHAR(10)," "))),"",
IFERROR(
  _xlfn.XLOOKUP(AA468,'기존 end point'!B:B,'기존 end point'!B:B,,0),
""))</f>
        <v/>
      </c>
    </row>
    <row r="879" hidden="1">
      <c r="A879" t="n">
        <v>467</v>
      </c>
      <c r="B879" t="inlineStr">
        <is>
          <t>civil-nx/gen-nx</t>
        </is>
      </c>
      <c r="C879" t="inlineStr">
        <is>
          <t>Analysis Result</t>
        </is>
      </c>
      <c r="D879" t="inlineStr">
        <is>
          <t>Moving Load</t>
        </is>
      </c>
      <c r="E879" t="inlineStr">
        <is>
          <t>Influ. Surfaces</t>
        </is>
      </c>
      <c r="F879" t="inlineStr">
        <is>
          <t>Beam Forces/Moments</t>
        </is>
      </c>
      <c r="T879" t="inlineStr">
        <is>
          <t>none</t>
        </is>
      </c>
      <c r="Z879">
        <f>IF(OR(K469="",K469="TABLE"),"",
_xlfn.TEXTJOIN(", ",TRUE,
IF(E469&lt;&gt;"",E469&amp;K469,""),
IF(F469&lt;&gt;"",F469&amp;K469,""),
IF(G469&lt;&gt;"",G469&amp;K469,"")
))</f>
        <v/>
      </c>
      <c r="AA879">
        <f>IF(K469="","",IF(K469="TABLE","",K469))</f>
        <v/>
      </c>
      <c r="AB879">
        <f>IF(ISNUMBER(SEARCH("기존변경필요",SUBSTITUTE(TRIM(V469),CHAR(10)," "))),"",
IFERROR(
  _xlfn.XLOOKUP(AA469,'기존 end point'!B:B,'기존 end point'!B:B,,0),
""))</f>
        <v/>
      </c>
    </row>
    <row r="880" hidden="1">
      <c r="A880" t="n">
        <v>468</v>
      </c>
      <c r="B880" t="inlineStr">
        <is>
          <t>civil-nx/gen-nx</t>
        </is>
      </c>
      <c r="C880" t="inlineStr">
        <is>
          <t>Analysis Result</t>
        </is>
      </c>
      <c r="D880" t="inlineStr">
        <is>
          <t>Moving Load</t>
        </is>
      </c>
      <c r="E880" t="inlineStr">
        <is>
          <t>Influ. Surfaces</t>
        </is>
      </c>
      <c r="F880" t="inlineStr">
        <is>
          <t>Plate Forces/Moments</t>
        </is>
      </c>
      <c r="T880" t="inlineStr">
        <is>
          <t>none</t>
        </is>
      </c>
      <c r="Z880">
        <f>IF(OR(K470="",K470="TABLE"),"",
_xlfn.TEXTJOIN(", ",TRUE,
IF(E470&lt;&gt;"",E470&amp;K470,""),
IF(F470&lt;&gt;"",F470&amp;K470,""),
IF(G470&lt;&gt;"",G470&amp;K470,"")
))</f>
        <v/>
      </c>
      <c r="AA880">
        <f>IF(K470="","",IF(K470="TABLE","",K470))</f>
        <v/>
      </c>
      <c r="AB880">
        <f>IF(ISNUMBER(SEARCH("기존변경필요",SUBSTITUTE(TRIM(V470),CHAR(10)," "))),"",
IFERROR(
  _xlfn.XLOOKUP(AA470,'기존 end point'!B:B,'기존 end point'!B:B,,0),
""))</f>
        <v/>
      </c>
    </row>
    <row r="881" hidden="1">
      <c r="A881" t="n">
        <v>469</v>
      </c>
      <c r="B881" t="inlineStr">
        <is>
          <t>civil-nx/gen-nx</t>
        </is>
      </c>
      <c r="C881" t="inlineStr">
        <is>
          <t>Analysis Result</t>
        </is>
      </c>
      <c r="D881" t="inlineStr">
        <is>
          <t>Moving Load</t>
        </is>
      </c>
      <c r="E881" t="inlineStr">
        <is>
          <t>Influ. Surfaces</t>
        </is>
      </c>
      <c r="F881" t="inlineStr">
        <is>
          <t>Beam Stresses</t>
        </is>
      </c>
      <c r="T881" t="inlineStr">
        <is>
          <t>none</t>
        </is>
      </c>
      <c r="Z881">
        <f>IF(OR(K471="",K471="TABLE"),"",
_xlfn.TEXTJOIN(", ",TRUE,
IF(E471&lt;&gt;"",E471&amp;K471,""),
IF(F471&lt;&gt;"",F471&amp;K471,""),
IF(G471&lt;&gt;"",G471&amp;K471,"")
))</f>
        <v/>
      </c>
      <c r="AA881">
        <f>IF(K471="","",IF(K471="TABLE","",K471))</f>
        <v/>
      </c>
      <c r="AB881">
        <f>IF(ISNUMBER(SEARCH("기존변경필요",SUBSTITUTE(TRIM(V471),CHAR(10)," "))),"",
IFERROR(
  _xlfn.XLOOKUP(AA471,'기존 end point'!B:B,'기존 end point'!B:B,,0),
""))</f>
        <v/>
      </c>
    </row>
    <row r="882" hidden="1">
      <c r="A882" t="n">
        <v>470</v>
      </c>
      <c r="B882" t="inlineStr">
        <is>
          <t>civil-nx/gen-nx</t>
        </is>
      </c>
      <c r="C882" t="inlineStr">
        <is>
          <t>Analysis Result</t>
        </is>
      </c>
      <c r="D882" t="inlineStr">
        <is>
          <t>Moving Load</t>
        </is>
      </c>
      <c r="E882" t="inlineStr">
        <is>
          <t>Influ. Surfaces</t>
        </is>
      </c>
      <c r="F882" t="inlineStr">
        <is>
          <t>Solid Stresses</t>
        </is>
      </c>
      <c r="T882" t="inlineStr">
        <is>
          <t>none</t>
        </is>
      </c>
      <c r="Z882">
        <f>IF(OR(K472="",K472="TABLE"),"",
_xlfn.TEXTJOIN(", ",TRUE,
IF(E472&lt;&gt;"",E472&amp;K472,""),
IF(F472&lt;&gt;"",F472&amp;K472,""),
IF(G472&lt;&gt;"",G472&amp;K472,"")
))</f>
        <v/>
      </c>
      <c r="AA882">
        <f>IF(K472="","",IF(K472="TABLE","",K472))</f>
        <v/>
      </c>
      <c r="AB882">
        <f>IF(ISNUMBER(SEARCH("기존변경필요",SUBSTITUTE(TRIM(V472),CHAR(10)," "))),"",
IFERROR(
  _xlfn.XLOOKUP(AA472,'기존 end point'!B:B,'기존 end point'!B:B,,0),
""))</f>
        <v/>
      </c>
    </row>
    <row r="883" hidden="1">
      <c r="A883" t="n">
        <v>471</v>
      </c>
      <c r="B883" t="inlineStr">
        <is>
          <t>civil-nx/gen-nx</t>
        </is>
      </c>
      <c r="C883" t="inlineStr">
        <is>
          <t>Analysis Result</t>
        </is>
      </c>
      <c r="D883" t="inlineStr">
        <is>
          <t>Moving Load</t>
        </is>
      </c>
      <c r="E883" t="inlineStr">
        <is>
          <t>Moving Tracer</t>
        </is>
      </c>
      <c r="F883" t="inlineStr">
        <is>
          <t>Reactions</t>
        </is>
      </c>
      <c r="T883" t="inlineStr">
        <is>
          <t>none</t>
        </is>
      </c>
      <c r="Z883">
        <f>IF(OR(K473="",K473="TABLE"),"",
_xlfn.TEXTJOIN(", ",TRUE,
IF(E473&lt;&gt;"",E473&amp;K473,""),
IF(F473&lt;&gt;"",F473&amp;K473,""),
IF(G473&lt;&gt;"",G473&amp;K473,"")
))</f>
        <v/>
      </c>
      <c r="AA883">
        <f>IF(K473="","",IF(K473="TABLE","",K473))</f>
        <v/>
      </c>
      <c r="AB883">
        <f>IF(ISNUMBER(SEARCH("기존변경필요",SUBSTITUTE(TRIM(V473),CHAR(10)," "))),"",
IFERROR(
  _xlfn.XLOOKUP(AA473,'기존 end point'!B:B,'기존 end point'!B:B,,0),
""))</f>
        <v/>
      </c>
    </row>
    <row r="884" hidden="1">
      <c r="A884" t="n">
        <v>472</v>
      </c>
      <c r="B884" t="inlineStr">
        <is>
          <t>civil-nx/gen-nx</t>
        </is>
      </c>
      <c r="C884" t="inlineStr">
        <is>
          <t>Analysis Result</t>
        </is>
      </c>
      <c r="D884" t="inlineStr">
        <is>
          <t>Moving Load</t>
        </is>
      </c>
      <c r="E884" t="inlineStr">
        <is>
          <t>Moving Tracer</t>
        </is>
      </c>
      <c r="F884" t="inlineStr">
        <is>
          <t>Displacements</t>
        </is>
      </c>
      <c r="T884" t="inlineStr">
        <is>
          <t>none</t>
        </is>
      </c>
      <c r="Z884">
        <f>IF(OR(K474="",K474="TABLE"),"",
_xlfn.TEXTJOIN(", ",TRUE,
IF(E474&lt;&gt;"",E474&amp;K474,""),
IF(F474&lt;&gt;"",F474&amp;K474,""),
IF(G474&lt;&gt;"",G474&amp;K474,"")
))</f>
        <v/>
      </c>
      <c r="AA884">
        <f>IF(K474="","",IF(K474="TABLE","",K474))</f>
        <v/>
      </c>
      <c r="AB884">
        <f>IF(ISNUMBER(SEARCH("기존변경필요",SUBSTITUTE(TRIM(V474),CHAR(10)," "))),"",
IFERROR(
  _xlfn.XLOOKUP(AA474,'기존 end point'!B:B,'기존 end point'!B:B,,0),
""))</f>
        <v/>
      </c>
    </row>
    <row r="885" hidden="1">
      <c r="A885" t="n">
        <v>473</v>
      </c>
      <c r="B885" t="inlineStr">
        <is>
          <t>civil-nx/gen-nx</t>
        </is>
      </c>
      <c r="C885" t="inlineStr">
        <is>
          <t>Analysis Result</t>
        </is>
      </c>
      <c r="D885" t="inlineStr">
        <is>
          <t>Moving Load</t>
        </is>
      </c>
      <c r="E885" t="inlineStr">
        <is>
          <t>Moving Tracer</t>
        </is>
      </c>
      <c r="F885" t="inlineStr">
        <is>
          <t>Truss Forces</t>
        </is>
      </c>
      <c r="T885" t="inlineStr">
        <is>
          <t>none</t>
        </is>
      </c>
      <c r="Z885">
        <f>IF(OR(K475="",K475="TABLE"),"",
_xlfn.TEXTJOIN(", ",TRUE,
IF(E475&lt;&gt;"",E475&amp;K475,""),
IF(F475&lt;&gt;"",F475&amp;K475,""),
IF(G475&lt;&gt;"",G475&amp;K475,"")
))</f>
        <v/>
      </c>
      <c r="AA885">
        <f>IF(K475="","",IF(K475="TABLE","",K475))</f>
        <v/>
      </c>
      <c r="AB885">
        <f>IF(ISNUMBER(SEARCH("기존변경필요",SUBSTITUTE(TRIM(V475),CHAR(10)," "))),"",
IFERROR(
  _xlfn.XLOOKUP(AA475,'기존 end point'!B:B,'기존 end point'!B:B,,0),
""))</f>
        <v/>
      </c>
    </row>
    <row r="886" hidden="1">
      <c r="A886" t="n">
        <v>474</v>
      </c>
      <c r="B886" t="inlineStr">
        <is>
          <t>civil-nx/gen-nx</t>
        </is>
      </c>
      <c r="C886" t="inlineStr">
        <is>
          <t>Analysis Result</t>
        </is>
      </c>
      <c r="D886" t="inlineStr">
        <is>
          <t>Moving Load</t>
        </is>
      </c>
      <c r="E886" t="inlineStr">
        <is>
          <t>Moving Tracer</t>
        </is>
      </c>
      <c r="F886" t="inlineStr">
        <is>
          <t>Beam Forces/Moments</t>
        </is>
      </c>
      <c r="T886" t="inlineStr">
        <is>
          <t>none</t>
        </is>
      </c>
      <c r="Z886">
        <f>IF(OR(K476="",K476="TABLE"),"",
_xlfn.TEXTJOIN(", ",TRUE,
IF(E476&lt;&gt;"",E476&amp;K476,""),
IF(F476&lt;&gt;"",F476&amp;K476,""),
IF(G476&lt;&gt;"",G476&amp;K476,"")
))</f>
        <v/>
      </c>
      <c r="AA886">
        <f>IF(K476="","",IF(K476="TABLE","",K476))</f>
        <v/>
      </c>
      <c r="AB886">
        <f>IF(ISNUMBER(SEARCH("기존변경필요",SUBSTITUTE(TRIM(V476),CHAR(10)," "))),"",
IFERROR(
  _xlfn.XLOOKUP(AA476,'기존 end point'!B:B,'기존 end point'!B:B,,0),
""))</f>
        <v/>
      </c>
    </row>
    <row r="887" hidden="1">
      <c r="A887" t="n">
        <v>475</v>
      </c>
      <c r="B887" t="inlineStr">
        <is>
          <t>civil-nx/gen-nx</t>
        </is>
      </c>
      <c r="C887" t="inlineStr">
        <is>
          <t>Analysis Result</t>
        </is>
      </c>
      <c r="D887" t="inlineStr">
        <is>
          <t>Moving Load</t>
        </is>
      </c>
      <c r="E887" t="inlineStr">
        <is>
          <t>Moving Tracer</t>
        </is>
      </c>
      <c r="F887" t="inlineStr">
        <is>
          <t>Plate Forces/Moments</t>
        </is>
      </c>
      <c r="T887" t="inlineStr">
        <is>
          <t>none</t>
        </is>
      </c>
      <c r="Z887">
        <f>IF(OR(K477="",K477="TABLE"),"",
_xlfn.TEXTJOIN(", ",TRUE,
IF(E477&lt;&gt;"",E477&amp;K477,""),
IF(F477&lt;&gt;"",F477&amp;K477,""),
IF(G477&lt;&gt;"",G477&amp;K477,"")
))</f>
        <v/>
      </c>
      <c r="AA887">
        <f>IF(K477="","",IF(K477="TABLE","",K477))</f>
        <v/>
      </c>
      <c r="AB887">
        <f>IF(ISNUMBER(SEARCH("기존변경필요",SUBSTITUTE(TRIM(V477),CHAR(10)," "))),"",
IFERROR(
  _xlfn.XLOOKUP(AA477,'기존 end point'!B:B,'기존 end point'!B:B,,0),
""))</f>
        <v/>
      </c>
    </row>
    <row r="888" hidden="1">
      <c r="A888" t="n">
        <v>476</v>
      </c>
      <c r="B888" t="inlineStr">
        <is>
          <t>civil-nx/gen-nx</t>
        </is>
      </c>
      <c r="C888" t="inlineStr">
        <is>
          <t>Analysis Result</t>
        </is>
      </c>
      <c r="D888" t="inlineStr">
        <is>
          <t>Moving Load</t>
        </is>
      </c>
      <c r="E888" t="inlineStr">
        <is>
          <t>Moving Tracer</t>
        </is>
      </c>
      <c r="F888" t="inlineStr">
        <is>
          <t>Beam Stresses</t>
        </is>
      </c>
      <c r="T888" t="inlineStr">
        <is>
          <t>none</t>
        </is>
      </c>
      <c r="Z888">
        <f>IF(OR(K478="",K478="TABLE"),"",
_xlfn.TEXTJOIN(", ",TRUE,
IF(E478&lt;&gt;"",E478&amp;K478,""),
IF(F478&lt;&gt;"",F478&amp;K478,""),
IF(G478&lt;&gt;"",G478&amp;K478,"")
))</f>
        <v/>
      </c>
      <c r="AA888">
        <f>IF(K478="","",IF(K478="TABLE","",K478))</f>
        <v/>
      </c>
      <c r="AB888">
        <f>IF(ISNUMBER(SEARCH("기존변경필요",SUBSTITUTE(TRIM(V478),CHAR(10)," "))),"",
IFERROR(
  _xlfn.XLOOKUP(AA478,'기존 end point'!B:B,'기존 end point'!B:B,,0),
""))</f>
        <v/>
      </c>
    </row>
    <row r="889" hidden="1">
      <c r="A889" t="n">
        <v>477</v>
      </c>
      <c r="B889" t="inlineStr">
        <is>
          <t>civil-nx/gen-nx</t>
        </is>
      </c>
      <c r="C889" t="inlineStr">
        <is>
          <t>Analysis Result</t>
        </is>
      </c>
      <c r="D889" t="inlineStr">
        <is>
          <t>Moving Load</t>
        </is>
      </c>
      <c r="E889" t="inlineStr">
        <is>
          <t>Moving Tracer</t>
        </is>
      </c>
      <c r="F889" t="inlineStr">
        <is>
          <t>Batch Conversion from MVLTRC to Static Load</t>
        </is>
      </c>
      <c r="T889" t="inlineStr">
        <is>
          <t>none</t>
        </is>
      </c>
      <c r="Z889">
        <f>IF(OR(K479="",K479="TABLE"),"",
_xlfn.TEXTJOIN(", ",TRUE,
IF(E479&lt;&gt;"",E479&amp;K479,""),
IF(F479&lt;&gt;"",F479&amp;K479,""),
IF(G479&lt;&gt;"",G479&amp;K479,"")
))</f>
        <v/>
      </c>
      <c r="AA889">
        <f>IF(K479="","",IF(K479="TABLE","",K479))</f>
        <v/>
      </c>
      <c r="AB889">
        <f>IF(ISNUMBER(SEARCH("기존변경필요",SUBSTITUTE(TRIM(V479),CHAR(10)," "))),"",
IFERROR(
  _xlfn.XLOOKUP(AA479,'기존 end point'!B:B,'기존 end point'!B:B,,0),
""))</f>
        <v/>
      </c>
    </row>
    <row r="890" hidden="1">
      <c r="A890" t="n">
        <v>478</v>
      </c>
      <c r="B890" t="inlineStr">
        <is>
          <t>civil-nx/gen-nx</t>
        </is>
      </c>
      <c r="C890" t="inlineStr">
        <is>
          <t>Analysis Result</t>
        </is>
      </c>
      <c r="D890" t="inlineStr">
        <is>
          <t>Text</t>
        </is>
      </c>
      <c r="E890" t="inlineStr">
        <is>
          <t>Text Output</t>
        </is>
      </c>
      <c r="T890" t="inlineStr">
        <is>
          <t>none</t>
        </is>
      </c>
      <c r="Z890">
        <f>IF(OR(K480="",K480="TABLE"),"",
_xlfn.TEXTJOIN(", ",TRUE,
IF(E480&lt;&gt;"",E480&amp;K480,""),
IF(F480&lt;&gt;"",F480&amp;K480,""),
IF(G480&lt;&gt;"",G480&amp;K480,"")
))</f>
        <v/>
      </c>
      <c r="AA890">
        <f>IF(K480="","",IF(K480="TABLE","",K480))</f>
        <v/>
      </c>
      <c r="AB890">
        <f>IF(ISNUMBER(SEARCH("기존변경필요",SUBSTITUTE(TRIM(V480),CHAR(10)," "))),"",
IFERROR(
  _xlfn.XLOOKUP(AA480,'기존 end point'!B:B,'기존 end point'!B:B,,0),
""))</f>
        <v/>
      </c>
    </row>
    <row r="891" hidden="1">
      <c r="A891" t="n">
        <v>479</v>
      </c>
      <c r="B891" t="inlineStr">
        <is>
          <t>civil-nx/gen-nx</t>
        </is>
      </c>
      <c r="C891" t="inlineStr">
        <is>
          <t>Analysis Result</t>
        </is>
      </c>
      <c r="D891" t="inlineStr">
        <is>
          <t>Tables</t>
        </is>
      </c>
      <c r="E891" t="inlineStr">
        <is>
          <t>Result</t>
        </is>
      </c>
      <c r="F891" t="inlineStr">
        <is>
          <t>Reaction</t>
        </is>
      </c>
      <c r="T891" t="inlineStr">
        <is>
          <t>none</t>
        </is>
      </c>
      <c r="Z891">
        <f>IF(OR(K481="",K481="TABLE"),"",
_xlfn.TEXTJOIN(", ",TRUE,
IF(E481&lt;&gt;"",E481&amp;K481,""),
IF(F481&lt;&gt;"",F481&amp;K481,""),
IF(G481&lt;&gt;"",G481&amp;K481,"")
))</f>
        <v/>
      </c>
      <c r="AA891">
        <f>IF(K481="","",IF(K481="TABLE","",K481))</f>
        <v/>
      </c>
      <c r="AB891">
        <f>IF(ISNUMBER(SEARCH("기존변경필요",SUBSTITUTE(TRIM(V481),CHAR(10)," "))),"",
IFERROR(
  _xlfn.XLOOKUP(AA481,'기존 end point'!B:B,'기존 end point'!B:B,,0),
""))</f>
        <v/>
      </c>
    </row>
    <row r="892" hidden="1">
      <c r="A892" t="n">
        <v>480</v>
      </c>
      <c r="B892" t="inlineStr">
        <is>
          <t>civil-nx/gen-nx</t>
        </is>
      </c>
      <c r="C892" t="inlineStr">
        <is>
          <t>Analysis Result</t>
        </is>
      </c>
      <c r="D892" t="inlineStr">
        <is>
          <t>Tables</t>
        </is>
      </c>
      <c r="E892" t="inlineStr">
        <is>
          <t>Result</t>
        </is>
      </c>
      <c r="F892" t="inlineStr">
        <is>
          <t>Displacement</t>
        </is>
      </c>
      <c r="T892" t="inlineStr">
        <is>
          <t>none</t>
        </is>
      </c>
      <c r="Z892">
        <f>IF(OR(K482="",K482="TABLE"),"",
_xlfn.TEXTJOIN(", ",TRUE,
IF(E482&lt;&gt;"",E482&amp;K482,""),
IF(F482&lt;&gt;"",F482&amp;K482,""),
IF(G482&lt;&gt;"",G482&amp;K482,"")
))</f>
        <v/>
      </c>
      <c r="AA892">
        <f>IF(K482="","",IF(K482="TABLE","",K482))</f>
        <v/>
      </c>
      <c r="AB892">
        <f>IF(ISNUMBER(SEARCH("기존변경필요",SUBSTITUTE(TRIM(V482),CHAR(10)," "))),"",
IFERROR(
  _xlfn.XLOOKUP(AA482,'기존 end point'!B:B,'기존 end point'!B:B,,0),
""))</f>
        <v/>
      </c>
    </row>
    <row r="893" hidden="1">
      <c r="A893" t="n">
        <v>481</v>
      </c>
      <c r="B893" t="inlineStr">
        <is>
          <t>civil-nx/gen-nx</t>
        </is>
      </c>
      <c r="C893" t="inlineStr">
        <is>
          <t>Analysis Result</t>
        </is>
      </c>
      <c r="D893" t="inlineStr">
        <is>
          <t>Tables</t>
        </is>
      </c>
      <c r="E893" t="inlineStr">
        <is>
          <t>Result</t>
        </is>
      </c>
      <c r="F893" t="inlineStr">
        <is>
          <t>Truss</t>
        </is>
      </c>
      <c r="G893" t="inlineStr">
        <is>
          <t>Force &amp; Stress</t>
        </is>
      </c>
      <c r="T893" t="inlineStr">
        <is>
          <t>none</t>
        </is>
      </c>
      <c r="Z893">
        <f>IF(OR(K483="",K483="TABLE"),"",
_xlfn.TEXTJOIN(", ",TRUE,
IF(E483&lt;&gt;"",E483&amp;K483,""),
IF(F483&lt;&gt;"",F483&amp;K483,""),
IF(G483&lt;&gt;"",G483&amp;K483,"")
))</f>
        <v/>
      </c>
      <c r="AA893">
        <f>IF(K483="","",IF(K483="TABLE","",K483))</f>
        <v/>
      </c>
      <c r="AB893">
        <f>IF(ISNUMBER(SEARCH("기존변경필요",SUBSTITUTE(TRIM(V483),CHAR(10)," "))),"",
IFERROR(
  _xlfn.XLOOKUP(AA483,'기존 end point'!B:B,'기존 end point'!B:B,,0),
""))</f>
        <v/>
      </c>
    </row>
    <row r="894" hidden="1">
      <c r="A894" t="n">
        <v>482</v>
      </c>
      <c r="B894" t="inlineStr">
        <is>
          <t>civil-nx/gen-nx</t>
        </is>
      </c>
      <c r="C894" t="inlineStr">
        <is>
          <t>Analysis Result</t>
        </is>
      </c>
      <c r="D894" t="inlineStr">
        <is>
          <t>Tables</t>
        </is>
      </c>
      <c r="E894" t="inlineStr">
        <is>
          <t>Result</t>
        </is>
      </c>
      <c r="F894" t="inlineStr">
        <is>
          <t>Truss</t>
        </is>
      </c>
      <c r="G894" t="inlineStr">
        <is>
          <t>Force</t>
        </is>
      </c>
      <c r="T894" t="inlineStr">
        <is>
          <t>none</t>
        </is>
      </c>
      <c r="Z894">
        <f>IF(OR(K484="",K484="TABLE"),"",
_xlfn.TEXTJOIN(", ",TRUE,
IF(E484&lt;&gt;"",E484&amp;K484,""),
IF(F484&lt;&gt;"",F484&amp;K484,""),
IF(G484&lt;&gt;"",G484&amp;K484,"")
))</f>
        <v/>
      </c>
      <c r="AA894">
        <f>IF(K484="","",IF(K484="TABLE","",K484))</f>
        <v/>
      </c>
      <c r="AB894">
        <f>IF(ISNUMBER(SEARCH("기존변경필요",SUBSTITUTE(TRIM(V484),CHAR(10)," "))),"",
IFERROR(
  _xlfn.XLOOKUP(AA484,'기존 end point'!B:B,'기존 end point'!B:B,,0),
""))</f>
        <v/>
      </c>
    </row>
    <row r="895" hidden="1">
      <c r="A895" t="n">
        <v>483</v>
      </c>
      <c r="B895" t="inlineStr">
        <is>
          <t>civil-nx/gen-nx</t>
        </is>
      </c>
      <c r="C895" t="inlineStr">
        <is>
          <t>Analysis Result</t>
        </is>
      </c>
      <c r="D895" t="inlineStr">
        <is>
          <t>Tables</t>
        </is>
      </c>
      <c r="E895" t="inlineStr">
        <is>
          <t>Result</t>
        </is>
      </c>
      <c r="F895" t="inlineStr">
        <is>
          <t>Truss</t>
        </is>
      </c>
      <c r="G895" t="inlineStr">
        <is>
          <t>Stress</t>
        </is>
      </c>
      <c r="T895" t="inlineStr">
        <is>
          <t>none</t>
        </is>
      </c>
      <c r="Z895">
        <f>IF(OR(K485="",K485="TABLE"),"",
_xlfn.TEXTJOIN(", ",TRUE,
IF(E485&lt;&gt;"",E485&amp;K485,""),
IF(F485&lt;&gt;"",F485&amp;K485,""),
IF(G485&lt;&gt;"",G485&amp;K485,"")
))</f>
        <v/>
      </c>
      <c r="AA895">
        <f>IF(K485="","",IF(K485="TABLE","",K485))</f>
        <v/>
      </c>
      <c r="AB895">
        <f>IF(ISNUMBER(SEARCH("기존변경필요",SUBSTITUTE(TRIM(V485),CHAR(10)," "))),"",
IFERROR(
  _xlfn.XLOOKUP(AA485,'기존 end point'!B:B,'기존 end point'!B:B,,0),
""))</f>
        <v/>
      </c>
    </row>
    <row r="896" hidden="1">
      <c r="A896" t="n">
        <v>484</v>
      </c>
      <c r="B896" t="inlineStr">
        <is>
          <t>civil-nx/gen-nx</t>
        </is>
      </c>
      <c r="C896" t="inlineStr">
        <is>
          <t>Analysis Result</t>
        </is>
      </c>
      <c r="D896" t="inlineStr">
        <is>
          <t>Tables</t>
        </is>
      </c>
      <c r="E896" t="inlineStr">
        <is>
          <t>Result</t>
        </is>
      </c>
      <c r="F896" t="inlineStr">
        <is>
          <t>Cable</t>
        </is>
      </c>
      <c r="G896" t="inlineStr">
        <is>
          <t>Force &amp; Configuration</t>
        </is>
      </c>
      <c r="T896" t="inlineStr">
        <is>
          <t>none</t>
        </is>
      </c>
      <c r="Z896">
        <f>IF(OR(K486="",K486="TABLE"),"",
_xlfn.TEXTJOIN(", ",TRUE,
IF(E486&lt;&gt;"",E486&amp;K486,""),
IF(F486&lt;&gt;"",F486&amp;K486,""),
IF(G486&lt;&gt;"",G486&amp;K486,"")
))</f>
        <v/>
      </c>
      <c r="AA896">
        <f>IF(K486="","",IF(K486="TABLE","",K486))</f>
        <v/>
      </c>
      <c r="AB896">
        <f>IF(ISNUMBER(SEARCH("기존변경필요",SUBSTITUTE(TRIM(V486),CHAR(10)," "))),"",
IFERROR(
  _xlfn.XLOOKUP(AA486,'기존 end point'!B:B,'기존 end point'!B:B,,0),
""))</f>
        <v/>
      </c>
    </row>
    <row r="897" hidden="1">
      <c r="A897" t="n">
        <v>485</v>
      </c>
      <c r="B897" t="inlineStr">
        <is>
          <t>civil-nx/gen-nx</t>
        </is>
      </c>
      <c r="C897" t="inlineStr">
        <is>
          <t>Analysis Result</t>
        </is>
      </c>
      <c r="D897" t="inlineStr">
        <is>
          <t>Tables</t>
        </is>
      </c>
      <c r="E897" t="inlineStr">
        <is>
          <t>Result</t>
        </is>
      </c>
      <c r="F897" t="inlineStr">
        <is>
          <t>Cable</t>
        </is>
      </c>
      <c r="G897" t="inlineStr">
        <is>
          <t>Force</t>
        </is>
      </c>
      <c r="T897" t="inlineStr">
        <is>
          <t>none</t>
        </is>
      </c>
      <c r="Z897">
        <f>IF(OR(K487="",K487="TABLE"),"",
_xlfn.TEXTJOIN(", ",TRUE,
IF(E487&lt;&gt;"",E487&amp;K487,""),
IF(F487&lt;&gt;"",F487&amp;K487,""),
IF(G487&lt;&gt;"",G487&amp;K487,"")
))</f>
        <v/>
      </c>
      <c r="AA897">
        <f>IF(K487="","",IF(K487="TABLE","",K487))</f>
        <v/>
      </c>
      <c r="AB897">
        <f>IF(ISNUMBER(SEARCH("기존변경필요",SUBSTITUTE(TRIM(V487),CHAR(10)," "))),"",
IFERROR(
  _xlfn.XLOOKUP(AA487,'기존 end point'!B:B,'기존 end point'!B:B,,0),
""))</f>
        <v/>
      </c>
    </row>
    <row r="898" hidden="1">
      <c r="A898" t="n">
        <v>486</v>
      </c>
      <c r="B898" t="inlineStr">
        <is>
          <t>civil-nx/gen-nx</t>
        </is>
      </c>
      <c r="C898" t="inlineStr">
        <is>
          <t>Analysis Result</t>
        </is>
      </c>
      <c r="D898" t="inlineStr">
        <is>
          <t>Tables</t>
        </is>
      </c>
      <c r="E898" t="inlineStr">
        <is>
          <t>Result</t>
        </is>
      </c>
      <c r="F898" t="inlineStr">
        <is>
          <t>Cable</t>
        </is>
      </c>
      <c r="G898" t="inlineStr">
        <is>
          <t>Configuration</t>
        </is>
      </c>
      <c r="T898" t="inlineStr">
        <is>
          <t>none</t>
        </is>
      </c>
      <c r="Z898">
        <f>IF(OR(K488="",K488="TABLE"),"",
_xlfn.TEXTJOIN(", ",TRUE,
IF(E488&lt;&gt;"",E488&amp;K488,""),
IF(F488&lt;&gt;"",F488&amp;K488,""),
IF(G488&lt;&gt;"",G488&amp;K488,"")
))</f>
        <v/>
      </c>
      <c r="AA898">
        <f>IF(K488="","",IF(K488="TABLE","",K488))</f>
        <v/>
      </c>
      <c r="AB898">
        <f>IF(ISNUMBER(SEARCH("기존변경필요",SUBSTITUTE(TRIM(V488),CHAR(10)," "))),"",
IFERROR(
  _xlfn.XLOOKUP(AA488,'기존 end point'!B:B,'기존 end point'!B:B,,0),
""))</f>
        <v/>
      </c>
    </row>
    <row r="899" hidden="1">
      <c r="A899" t="n">
        <v>487</v>
      </c>
      <c r="B899" t="inlineStr">
        <is>
          <t>civil-nx/gen-nx</t>
        </is>
      </c>
      <c r="C899" t="inlineStr">
        <is>
          <t>Analysis Result</t>
        </is>
      </c>
      <c r="D899" t="inlineStr">
        <is>
          <t>Tables</t>
        </is>
      </c>
      <c r="E899" t="inlineStr">
        <is>
          <t>Result</t>
        </is>
      </c>
      <c r="F899" t="inlineStr">
        <is>
          <t>Cable</t>
        </is>
      </c>
      <c r="G899" t="inlineStr">
        <is>
          <t>Cable Efficiency</t>
        </is>
      </c>
      <c r="T899" t="inlineStr">
        <is>
          <t>none</t>
        </is>
      </c>
      <c r="Z899">
        <f>IF(OR(K489="",K489="TABLE"),"",
_xlfn.TEXTJOIN(", ",TRUE,
IF(E489&lt;&gt;"",E489&amp;K489,""),
IF(F489&lt;&gt;"",F489&amp;K489,""),
IF(G489&lt;&gt;"",G489&amp;K489,"")
))</f>
        <v/>
      </c>
      <c r="AA899">
        <f>IF(K489="","",IF(K489="TABLE","",K489))</f>
        <v/>
      </c>
      <c r="AB899">
        <f>IF(ISNUMBER(SEARCH("기존변경필요",SUBSTITUTE(TRIM(V489),CHAR(10)," "))),"",
IFERROR(
  _xlfn.XLOOKUP(AA489,'기존 end point'!B:B,'기존 end point'!B:B,,0),
""))</f>
        <v/>
      </c>
    </row>
    <row r="900" hidden="1">
      <c r="A900" t="n">
        <v>488</v>
      </c>
      <c r="B900" t="inlineStr">
        <is>
          <t>civil-nx/gen-nx</t>
        </is>
      </c>
      <c r="C900" t="inlineStr">
        <is>
          <t>Analysis Result</t>
        </is>
      </c>
      <c r="D900" t="inlineStr">
        <is>
          <t>Tables</t>
        </is>
      </c>
      <c r="E900" t="inlineStr">
        <is>
          <t>Result</t>
        </is>
      </c>
      <c r="F900" t="inlineStr">
        <is>
          <t>Beam</t>
        </is>
      </c>
      <c r="G900" t="inlineStr">
        <is>
          <t>Force &amp; Stress</t>
        </is>
      </c>
      <c r="T900" t="inlineStr">
        <is>
          <t>none</t>
        </is>
      </c>
      <c r="Z900">
        <f>IF(OR(K490="",K490="TABLE"),"",
_xlfn.TEXTJOIN(", ",TRUE,
IF(E490&lt;&gt;"",E490&amp;K490,""),
IF(F490&lt;&gt;"",F490&amp;K490,""),
IF(G490&lt;&gt;"",G490&amp;K490,"")
))</f>
        <v/>
      </c>
      <c r="AA900">
        <f>IF(K490="","",IF(K490="TABLE","",K490))</f>
        <v/>
      </c>
      <c r="AB900">
        <f>IF(ISNUMBER(SEARCH("기존변경필요",SUBSTITUTE(TRIM(V490),CHAR(10)," "))),"",
IFERROR(
  _xlfn.XLOOKUP(AA490,'기존 end point'!B:B,'기존 end point'!B:B,,0),
""))</f>
        <v/>
      </c>
    </row>
    <row r="901" hidden="1">
      <c r="A901" t="n">
        <v>489</v>
      </c>
      <c r="B901" t="inlineStr">
        <is>
          <t>civil-nx/gen-nx</t>
        </is>
      </c>
      <c r="C901" t="inlineStr">
        <is>
          <t>Analysis Result</t>
        </is>
      </c>
      <c r="D901" t="inlineStr">
        <is>
          <t>Tables</t>
        </is>
      </c>
      <c r="E901" t="inlineStr">
        <is>
          <t>Result</t>
        </is>
      </c>
      <c r="F901" t="inlineStr">
        <is>
          <t>Beam</t>
        </is>
      </c>
      <c r="G901" t="inlineStr">
        <is>
          <t>Force</t>
        </is>
      </c>
      <c r="T901" t="inlineStr">
        <is>
          <t>none</t>
        </is>
      </c>
      <c r="Z901">
        <f>IF(OR(K491="",K491="TABLE"),"",
_xlfn.TEXTJOIN(", ",TRUE,
IF(E491&lt;&gt;"",E491&amp;K491,""),
IF(F491&lt;&gt;"",F491&amp;K491,""),
IF(G491&lt;&gt;"",G491&amp;K491,"")
))</f>
        <v/>
      </c>
      <c r="AA901">
        <f>IF(K491="","",IF(K491="TABLE","",K491))</f>
        <v/>
      </c>
      <c r="AB901">
        <f>IF(ISNUMBER(SEARCH("기존변경필요",SUBSTITUTE(TRIM(V491),CHAR(10)," "))),"",
IFERROR(
  _xlfn.XLOOKUP(AA491,'기존 end point'!B:B,'기존 end point'!B:B,,0),
""))</f>
        <v/>
      </c>
    </row>
    <row r="902" hidden="1">
      <c r="A902" t="n">
        <v>490</v>
      </c>
      <c r="B902" t="inlineStr">
        <is>
          <t>civil-nx/gen-nx</t>
        </is>
      </c>
      <c r="C902" t="inlineStr">
        <is>
          <t>Analysis Result</t>
        </is>
      </c>
      <c r="D902" t="inlineStr">
        <is>
          <t>Tables</t>
        </is>
      </c>
      <c r="E902" t="inlineStr">
        <is>
          <t>Result</t>
        </is>
      </c>
      <c r="F902" t="inlineStr">
        <is>
          <t>Beam</t>
        </is>
      </c>
      <c r="G902" t="inlineStr">
        <is>
          <t>Stress</t>
        </is>
      </c>
      <c r="T902" t="inlineStr">
        <is>
          <t>none</t>
        </is>
      </c>
      <c r="Z902">
        <f>IF(OR(K492="",K492="TABLE"),"",
_xlfn.TEXTJOIN(", ",TRUE,
IF(E492&lt;&gt;"",E492&amp;K492,""),
IF(F492&lt;&gt;"",F492&amp;K492,""),
IF(G492&lt;&gt;"",G492&amp;K492,"")
))</f>
        <v/>
      </c>
      <c r="AA902">
        <f>IF(K492="","",IF(K492="TABLE","",K492))</f>
        <v/>
      </c>
      <c r="AB902">
        <f>IF(ISNUMBER(SEARCH("기존변경필요",SUBSTITUTE(TRIM(V492),CHAR(10)," "))),"",
IFERROR(
  _xlfn.XLOOKUP(AA492,'기존 end point'!B:B,'기존 end point'!B:B,,0),
""))</f>
        <v/>
      </c>
    </row>
    <row r="903" hidden="1">
      <c r="A903" t="n">
        <v>491</v>
      </c>
      <c r="B903" t="inlineStr">
        <is>
          <t>civil-nx/gen-nx</t>
        </is>
      </c>
      <c r="C903" t="inlineStr">
        <is>
          <t>Analysis Result</t>
        </is>
      </c>
      <c r="D903" t="inlineStr">
        <is>
          <t>Tables</t>
        </is>
      </c>
      <c r="E903" t="inlineStr">
        <is>
          <t>Result</t>
        </is>
      </c>
      <c r="F903" t="inlineStr">
        <is>
          <t>Beam</t>
        </is>
      </c>
      <c r="G903" t="inlineStr">
        <is>
          <t>Stress(Equivalent)</t>
        </is>
      </c>
      <c r="T903" t="inlineStr">
        <is>
          <t>none</t>
        </is>
      </c>
      <c r="Z903">
        <f>IF(OR(K493="",K493="TABLE"),"",
_xlfn.TEXTJOIN(", ",TRUE,
IF(E493&lt;&gt;"",E493&amp;K493,""),
IF(F493&lt;&gt;"",F493&amp;K493,""),
IF(G493&lt;&gt;"",G493&amp;K493,"")
))</f>
        <v/>
      </c>
      <c r="AA903">
        <f>IF(K493="","",IF(K493="TABLE","",K493))</f>
        <v/>
      </c>
      <c r="AB903">
        <f>IF(ISNUMBER(SEARCH("기존변경필요",SUBSTITUTE(TRIM(V493),CHAR(10)," "))),"",
IFERROR(
  _xlfn.XLOOKUP(AA493,'기존 end point'!B:B,'기존 end point'!B:B,,0),
""))</f>
        <v/>
      </c>
    </row>
    <row r="904" hidden="1">
      <c r="A904" t="n">
        <v>492</v>
      </c>
      <c r="B904" t="inlineStr">
        <is>
          <t>civil-nx/gen-nx</t>
        </is>
      </c>
      <c r="C904" t="inlineStr">
        <is>
          <t>Analysis Result</t>
        </is>
      </c>
      <c r="D904" t="inlineStr">
        <is>
          <t>Tables</t>
        </is>
      </c>
      <c r="E904" t="inlineStr">
        <is>
          <t>Result</t>
        </is>
      </c>
      <c r="F904" t="inlineStr">
        <is>
          <t>Plate</t>
        </is>
      </c>
      <c r="G904" t="inlineStr">
        <is>
          <t>Force &amp; Stress</t>
        </is>
      </c>
      <c r="T904" t="inlineStr">
        <is>
          <t>none</t>
        </is>
      </c>
      <c r="Z904">
        <f>IF(OR(K494="",K494="TABLE"),"",
_xlfn.TEXTJOIN(", ",TRUE,
IF(E494&lt;&gt;"",E494&amp;K494,""),
IF(F494&lt;&gt;"",F494&amp;K494,""),
IF(G494&lt;&gt;"",G494&amp;K494,"")
))</f>
        <v/>
      </c>
      <c r="AA904">
        <f>IF(K494="","",IF(K494="TABLE","",K494))</f>
        <v/>
      </c>
      <c r="AB904">
        <f>IF(ISNUMBER(SEARCH("기존변경필요",SUBSTITUTE(TRIM(V494),CHAR(10)," "))),"",
IFERROR(
  _xlfn.XLOOKUP(AA494,'기존 end point'!B:B,'기존 end point'!B:B,,0),
""))</f>
        <v/>
      </c>
    </row>
    <row r="905" hidden="1">
      <c r="A905" t="n">
        <v>493</v>
      </c>
      <c r="B905" t="inlineStr">
        <is>
          <t>civil-nx/gen-nx</t>
        </is>
      </c>
      <c r="C905" t="inlineStr">
        <is>
          <t>Analysis Result</t>
        </is>
      </c>
      <c r="D905" t="inlineStr">
        <is>
          <t>Tables</t>
        </is>
      </c>
      <c r="E905" t="inlineStr">
        <is>
          <t>Result</t>
        </is>
      </c>
      <c r="F905" t="inlineStr">
        <is>
          <t>Plate</t>
        </is>
      </c>
      <c r="G905" t="inlineStr">
        <is>
          <t>Force (Local)</t>
        </is>
      </c>
      <c r="T905" t="inlineStr">
        <is>
          <t>none</t>
        </is>
      </c>
      <c r="Z905">
        <f>IF(OR(K495="",K495="TABLE"),"",
_xlfn.TEXTJOIN(", ",TRUE,
IF(E495&lt;&gt;"",E495&amp;K495,""),
IF(F495&lt;&gt;"",F495&amp;K495,""),
IF(G495&lt;&gt;"",G495&amp;K495,"")
))</f>
        <v/>
      </c>
      <c r="AA905">
        <f>IF(K495="","",IF(K495="TABLE","",K495))</f>
        <v/>
      </c>
      <c r="AB905">
        <f>IF(ISNUMBER(SEARCH("기존변경필요",SUBSTITUTE(TRIM(V495),CHAR(10)," "))),"",
IFERROR(
  _xlfn.XLOOKUP(AA495,'기존 end point'!B:B,'기존 end point'!B:B,,0),
""))</f>
        <v/>
      </c>
    </row>
    <row r="906" hidden="1">
      <c r="A906" t="n">
        <v>494</v>
      </c>
      <c r="B906" t="inlineStr">
        <is>
          <t>civil-nx/gen-nx</t>
        </is>
      </c>
      <c r="C906" t="inlineStr">
        <is>
          <t>Analysis Result</t>
        </is>
      </c>
      <c r="D906" t="inlineStr">
        <is>
          <t>Tables</t>
        </is>
      </c>
      <c r="E906" t="inlineStr">
        <is>
          <t>Result</t>
        </is>
      </c>
      <c r="F906" t="inlineStr">
        <is>
          <t>Plate</t>
        </is>
      </c>
      <c r="G906" t="inlineStr">
        <is>
          <t>Force (Global)</t>
        </is>
      </c>
      <c r="T906" t="inlineStr">
        <is>
          <t>none</t>
        </is>
      </c>
      <c r="Z906">
        <f>IF(OR(K496="",K496="TABLE"),"",
_xlfn.TEXTJOIN(", ",TRUE,
IF(E496&lt;&gt;"",E496&amp;K496,""),
IF(F496&lt;&gt;"",F496&amp;K496,""),
IF(G496&lt;&gt;"",G496&amp;K496,"")
))</f>
        <v/>
      </c>
      <c r="AA906">
        <f>IF(K496="","",IF(K496="TABLE","",K496))</f>
        <v/>
      </c>
      <c r="AB906">
        <f>IF(ISNUMBER(SEARCH("기존변경필요",SUBSTITUTE(TRIM(V496),CHAR(10)," "))),"",
IFERROR(
  _xlfn.XLOOKUP(AA496,'기존 end point'!B:B,'기존 end point'!B:B,,0),
""))</f>
        <v/>
      </c>
    </row>
    <row r="907" hidden="1">
      <c r="A907" t="n">
        <v>495</v>
      </c>
      <c r="B907" t="inlineStr">
        <is>
          <t>civil-nx/gen-nx</t>
        </is>
      </c>
      <c r="C907" t="inlineStr">
        <is>
          <t>Analysis Result</t>
        </is>
      </c>
      <c r="D907" t="inlineStr">
        <is>
          <t>Tables</t>
        </is>
      </c>
      <c r="E907" t="inlineStr">
        <is>
          <t>Result</t>
        </is>
      </c>
      <c r="F907" t="inlineStr">
        <is>
          <t>Plate</t>
        </is>
      </c>
      <c r="G907" t="inlineStr">
        <is>
          <t>Force (Unit Length)</t>
        </is>
      </c>
      <c r="T907" t="inlineStr">
        <is>
          <t>none</t>
        </is>
      </c>
      <c r="Z907">
        <f>IF(OR(K497="",K497="TABLE"),"",
_xlfn.TEXTJOIN(", ",TRUE,
IF(E497&lt;&gt;"",E497&amp;K497,""),
IF(F497&lt;&gt;"",F497&amp;K497,""),
IF(G497&lt;&gt;"",G497&amp;K497,"")
))</f>
        <v/>
      </c>
      <c r="AA907">
        <f>IF(K497="","",IF(K497="TABLE","",K497))</f>
        <v/>
      </c>
      <c r="AB907">
        <f>IF(ISNUMBER(SEARCH("기존변경필요",SUBSTITUTE(TRIM(V497),CHAR(10)," "))),"",
IFERROR(
  _xlfn.XLOOKUP(AA497,'기존 end point'!B:B,'기존 end point'!B:B,,0),
""))</f>
        <v/>
      </c>
    </row>
    <row r="908" hidden="1">
      <c r="A908" t="n">
        <v>496</v>
      </c>
      <c r="B908" t="inlineStr">
        <is>
          <t>civil-nx/gen-nx</t>
        </is>
      </c>
      <c r="C908" t="inlineStr">
        <is>
          <t>Analysis Result</t>
        </is>
      </c>
      <c r="D908" t="inlineStr">
        <is>
          <t>Tables</t>
        </is>
      </c>
      <c r="E908" t="inlineStr">
        <is>
          <t>Result</t>
        </is>
      </c>
      <c r="F908" t="inlineStr">
        <is>
          <t>Plate</t>
        </is>
      </c>
      <c r="G908" t="inlineStr">
        <is>
          <t>Stress (Local)</t>
        </is>
      </c>
      <c r="T908" t="inlineStr">
        <is>
          <t>none</t>
        </is>
      </c>
      <c r="Z908">
        <f>IF(OR(K498="",K498="TABLE"),"",
_xlfn.TEXTJOIN(", ",TRUE,
IF(E498&lt;&gt;"",E498&amp;K498,""),
IF(F498&lt;&gt;"",F498&amp;K498,""),
IF(G498&lt;&gt;"",G498&amp;K498,"")
))</f>
        <v/>
      </c>
      <c r="AA908">
        <f>IF(K498="","",IF(K498="TABLE","",K498))</f>
        <v/>
      </c>
      <c r="AB908">
        <f>IF(ISNUMBER(SEARCH("기존변경필요",SUBSTITUTE(TRIM(V498),CHAR(10)," "))),"",
IFERROR(
  _xlfn.XLOOKUP(AA498,'기존 end point'!B:B,'기존 end point'!B:B,,0),
""))</f>
        <v/>
      </c>
    </row>
    <row r="909" hidden="1">
      <c r="A909" t="n">
        <v>497</v>
      </c>
      <c r="B909" t="inlineStr">
        <is>
          <t>civil-nx/gen-nx</t>
        </is>
      </c>
      <c r="C909" t="inlineStr">
        <is>
          <t>Analysis Result</t>
        </is>
      </c>
      <c r="D909" t="inlineStr">
        <is>
          <t>Tables</t>
        </is>
      </c>
      <c r="E909" t="inlineStr">
        <is>
          <t>Result</t>
        </is>
      </c>
      <c r="F909" t="inlineStr">
        <is>
          <t>Plate</t>
        </is>
      </c>
      <c r="G909" t="inlineStr">
        <is>
          <t>Stress (Global)</t>
        </is>
      </c>
      <c r="T909" t="inlineStr">
        <is>
          <t>none</t>
        </is>
      </c>
      <c r="Z909">
        <f>IF(OR(K499="",K499="TABLE"),"",
_xlfn.TEXTJOIN(", ",TRUE,
IF(E499&lt;&gt;"",E499&amp;K499,""),
IF(F499&lt;&gt;"",F499&amp;K499,""),
IF(G499&lt;&gt;"",G499&amp;K499,"")
))</f>
        <v/>
      </c>
      <c r="AA909">
        <f>IF(K499="","",IF(K499="TABLE","",K499))</f>
        <v/>
      </c>
      <c r="AB909">
        <f>IF(ISNUMBER(SEARCH("기존변경필요",SUBSTITUTE(TRIM(V499),CHAR(10)," "))),"",
IFERROR(
  _xlfn.XLOOKUP(AA499,'기존 end point'!B:B,'기존 end point'!B:B,,0),
""))</f>
        <v/>
      </c>
    </row>
    <row r="910" hidden="1" ht="17.25" customHeight="1">
      <c r="A910" t="n">
        <v>498</v>
      </c>
      <c r="B910" t="inlineStr">
        <is>
          <t>civil-nx/gen-nx</t>
        </is>
      </c>
      <c r="C910" t="inlineStr">
        <is>
          <t>Analysis Result</t>
        </is>
      </c>
      <c r="D910" t="inlineStr">
        <is>
          <t>Tables</t>
        </is>
      </c>
      <c r="E910" t="inlineStr">
        <is>
          <t>Result</t>
        </is>
      </c>
      <c r="F910" t="inlineStr">
        <is>
          <t>Plate</t>
        </is>
      </c>
      <c r="G910" t="inlineStr">
        <is>
          <t>Strain (Local)</t>
        </is>
      </c>
      <c r="T910" t="inlineStr">
        <is>
          <t>none</t>
        </is>
      </c>
      <c r="Z910">
        <f>IF(OR(K500="",K500="TABLE"),"",
_xlfn.TEXTJOIN(", ",TRUE,
IF(E500&lt;&gt;"",E500&amp;K500,""),
IF(F500&lt;&gt;"",F500&amp;K500,""),
IF(G500&lt;&gt;"",G500&amp;K500,"")
))</f>
        <v/>
      </c>
      <c r="AA910">
        <f>IF(K500="","",IF(K500="TABLE","",K500))</f>
        <v/>
      </c>
      <c r="AB910">
        <f>IF(ISNUMBER(SEARCH("기존변경필요",SUBSTITUTE(TRIM(V500),CHAR(10)," "))),"",
IFERROR(
  _xlfn.XLOOKUP(AA500,'기존 end point'!B:B,'기존 end point'!B:B,,0),
""))</f>
        <v/>
      </c>
    </row>
    <row r="911" hidden="1" ht="17.25" customHeight="1">
      <c r="A911" t="n">
        <v>499</v>
      </c>
      <c r="B911" t="inlineStr">
        <is>
          <t>civil-nx/gen-nx</t>
        </is>
      </c>
      <c r="C911" t="inlineStr">
        <is>
          <t>Analysis Result</t>
        </is>
      </c>
      <c r="D911" t="inlineStr">
        <is>
          <t>Tables</t>
        </is>
      </c>
      <c r="E911" t="inlineStr">
        <is>
          <t>Result</t>
        </is>
      </c>
      <c r="F911" t="inlineStr">
        <is>
          <t>Plate</t>
        </is>
      </c>
      <c r="G911" t="inlineStr">
        <is>
          <t>Strain (Global)</t>
        </is>
      </c>
      <c r="T911" t="inlineStr">
        <is>
          <t>none</t>
        </is>
      </c>
      <c r="Z911">
        <f>IF(OR(K501="",K501="TABLE"),"",
_xlfn.TEXTJOIN(", ",TRUE,
IF(E501&lt;&gt;"",E501&amp;K501,""),
IF(F501&lt;&gt;"",F501&amp;K501,""),
IF(G501&lt;&gt;"",G501&amp;K501,"")
))</f>
        <v/>
      </c>
      <c r="AA911">
        <f>IF(K501="","",IF(K501="TABLE","",K501))</f>
        <v/>
      </c>
      <c r="AB911">
        <f>IF(ISNUMBER(SEARCH("기존변경필요",SUBSTITUTE(TRIM(V501),CHAR(10)," "))),"",
IFERROR(
  _xlfn.XLOOKUP(AA501,'기존 end point'!B:B,'기존 end point'!B:B,,0),
""))</f>
        <v/>
      </c>
    </row>
    <row r="912" hidden="1" ht="17.25" customHeight="1">
      <c r="A912" t="n">
        <v>500</v>
      </c>
      <c r="B912" t="inlineStr">
        <is>
          <t>civil-nx/gen-nx</t>
        </is>
      </c>
      <c r="C912" t="inlineStr">
        <is>
          <t>Analysis Result</t>
        </is>
      </c>
      <c r="D912" t="inlineStr">
        <is>
          <t>Tables</t>
        </is>
      </c>
      <c r="E912" t="inlineStr">
        <is>
          <t>Result</t>
        </is>
      </c>
      <c r="F912" t="inlineStr">
        <is>
          <t>Plane Stress</t>
        </is>
      </c>
      <c r="G912" t="inlineStr">
        <is>
          <t>Force &amp; Stress</t>
        </is>
      </c>
      <c r="T912" t="inlineStr">
        <is>
          <t>none</t>
        </is>
      </c>
      <c r="Z912">
        <f>IF(OR(K502="",K502="TABLE"),"",
_xlfn.TEXTJOIN(", ",TRUE,
IF(E502&lt;&gt;"",E502&amp;K502,""),
IF(F502&lt;&gt;"",F502&amp;K502,""),
IF(G502&lt;&gt;"",G502&amp;K502,"")
))</f>
        <v/>
      </c>
      <c r="AA912">
        <f>IF(K502="","",IF(K502="TABLE","",K502))</f>
        <v/>
      </c>
      <c r="AB912">
        <f>IF(ISNUMBER(SEARCH("기존변경필요",SUBSTITUTE(TRIM(V502),CHAR(10)," "))),"",
IFERROR(
  _xlfn.XLOOKUP(AA502,'기존 end point'!B:B,'기존 end point'!B:B,,0),
""))</f>
        <v/>
      </c>
    </row>
    <row r="913" hidden="1" ht="17.25" customHeight="1">
      <c r="A913" t="n">
        <v>501</v>
      </c>
      <c r="B913" t="inlineStr">
        <is>
          <t>civil-nx/gen-nx</t>
        </is>
      </c>
      <c r="C913" t="inlineStr">
        <is>
          <t>Analysis Result</t>
        </is>
      </c>
      <c r="D913" t="inlineStr">
        <is>
          <t>Tables</t>
        </is>
      </c>
      <c r="E913" t="inlineStr">
        <is>
          <t>Result</t>
        </is>
      </c>
      <c r="F913" t="inlineStr">
        <is>
          <t>Plane Stress</t>
        </is>
      </c>
      <c r="G913" t="inlineStr">
        <is>
          <t>Force (Local)</t>
        </is>
      </c>
      <c r="T913" t="inlineStr">
        <is>
          <t>none</t>
        </is>
      </c>
      <c r="Z913">
        <f>IF(OR(K503="",K503="TABLE"),"",
_xlfn.TEXTJOIN(", ",TRUE,
IF(E503&lt;&gt;"",E503&amp;K503,""),
IF(F503&lt;&gt;"",F503&amp;K503,""),
IF(G503&lt;&gt;"",G503&amp;K503,"")
))</f>
        <v/>
      </c>
      <c r="AA913">
        <f>IF(K503="","",IF(K503="TABLE","",K503))</f>
        <v/>
      </c>
      <c r="AB913">
        <f>IF(ISNUMBER(SEARCH("기존변경필요",SUBSTITUTE(TRIM(V503),CHAR(10)," "))),"",
IFERROR(
  _xlfn.XLOOKUP(AA503,'기존 end point'!B:B,'기존 end point'!B:B,,0),
""))</f>
        <v/>
      </c>
    </row>
    <row r="914" hidden="1" ht="17.25" customHeight="1">
      <c r="A914" t="n">
        <v>502</v>
      </c>
      <c r="B914" t="inlineStr">
        <is>
          <t>civil-nx/gen-nx</t>
        </is>
      </c>
      <c r="C914" t="inlineStr">
        <is>
          <t>Analysis Result</t>
        </is>
      </c>
      <c r="D914" t="inlineStr">
        <is>
          <t>Tables</t>
        </is>
      </c>
      <c r="E914" t="inlineStr">
        <is>
          <t>Result</t>
        </is>
      </c>
      <c r="F914" t="inlineStr">
        <is>
          <t>Plane Stress</t>
        </is>
      </c>
      <c r="G914" t="inlineStr">
        <is>
          <t>Force (Global)</t>
        </is>
      </c>
      <c r="T914" t="inlineStr">
        <is>
          <t>none</t>
        </is>
      </c>
      <c r="Z914">
        <f>IF(OR(K504="",K504="TABLE"),"",
_xlfn.TEXTJOIN(", ",TRUE,
IF(E504&lt;&gt;"",E504&amp;K504,""),
IF(F504&lt;&gt;"",F504&amp;K504,""),
IF(G504&lt;&gt;"",G504&amp;K504,"")
))</f>
        <v/>
      </c>
      <c r="AA914">
        <f>IF(K504="","",IF(K504="TABLE","",K504))</f>
        <v/>
      </c>
      <c r="AB914">
        <f>IF(ISNUMBER(SEARCH("기존변경필요",SUBSTITUTE(TRIM(V504),CHAR(10)," "))),"",
IFERROR(
  _xlfn.XLOOKUP(AA504,'기존 end point'!B:B,'기존 end point'!B:B,,0),
""))</f>
        <v/>
      </c>
    </row>
    <row r="915" hidden="1" ht="17.25" customHeight="1">
      <c r="A915" t="n">
        <v>503</v>
      </c>
      <c r="B915" t="inlineStr">
        <is>
          <t>civil-nx/gen-nx</t>
        </is>
      </c>
      <c r="C915" t="inlineStr">
        <is>
          <t>Analysis Result</t>
        </is>
      </c>
      <c r="D915" t="inlineStr">
        <is>
          <t>Tables</t>
        </is>
      </c>
      <c r="E915" t="inlineStr">
        <is>
          <t>Result</t>
        </is>
      </c>
      <c r="F915" t="inlineStr">
        <is>
          <t>Plane Stress</t>
        </is>
      </c>
      <c r="G915" t="inlineStr">
        <is>
          <t>Stress (Local)</t>
        </is>
      </c>
      <c r="T915" t="inlineStr">
        <is>
          <t>none</t>
        </is>
      </c>
      <c r="Z915">
        <f>IF(OR(K505="",K505="TABLE"),"",
_xlfn.TEXTJOIN(", ",TRUE,
IF(E505&lt;&gt;"",E505&amp;K505,""),
IF(F505&lt;&gt;"",F505&amp;K505,""),
IF(G505&lt;&gt;"",G505&amp;K505,"")
))</f>
        <v/>
      </c>
      <c r="AA915">
        <f>IF(K505="","",IF(K505="TABLE","",K505))</f>
        <v/>
      </c>
      <c r="AB915">
        <f>IF(ISNUMBER(SEARCH("기존변경필요",SUBSTITUTE(TRIM(V505),CHAR(10)," "))),"",
IFERROR(
  _xlfn.XLOOKUP(AA505,'기존 end point'!B:B,'기존 end point'!B:B,,0),
""))</f>
        <v/>
      </c>
    </row>
    <row r="916" hidden="1" ht="17.25" customHeight="1">
      <c r="A916" t="n">
        <v>504</v>
      </c>
      <c r="B916" t="inlineStr">
        <is>
          <t>civil-nx/gen-nx</t>
        </is>
      </c>
      <c r="C916" t="inlineStr">
        <is>
          <t>Analysis Result</t>
        </is>
      </c>
      <c r="D916" t="inlineStr">
        <is>
          <t>Tables</t>
        </is>
      </c>
      <c r="E916" t="inlineStr">
        <is>
          <t>Result</t>
        </is>
      </c>
      <c r="F916" t="inlineStr">
        <is>
          <t>Plane Stress</t>
        </is>
      </c>
      <c r="G916" t="inlineStr">
        <is>
          <t>Stress (Global)</t>
        </is>
      </c>
      <c r="T916" t="inlineStr">
        <is>
          <t>none</t>
        </is>
      </c>
      <c r="Z916">
        <f>IF(OR(K506="",K506="TABLE"),"",
_xlfn.TEXTJOIN(", ",TRUE,
IF(E506&lt;&gt;"",E506&amp;K506,""),
IF(F506&lt;&gt;"",F506&amp;K506,""),
IF(G506&lt;&gt;"",G506&amp;K506,"")
))</f>
        <v/>
      </c>
      <c r="AA916">
        <f>IF(K506="","",IF(K506="TABLE","",K506))</f>
        <v/>
      </c>
      <c r="AB916">
        <f>IF(ISNUMBER(SEARCH("기존변경필요",SUBSTITUTE(TRIM(V506),CHAR(10)," "))),"",
IFERROR(
  _xlfn.XLOOKUP(AA506,'기존 end point'!B:B,'기존 end point'!B:B,,0),
""))</f>
        <v/>
      </c>
    </row>
    <row r="917" hidden="1" ht="17.25" customHeight="1">
      <c r="A917" t="n">
        <v>505</v>
      </c>
      <c r="B917" t="inlineStr">
        <is>
          <t>civil-nx/gen-nx</t>
        </is>
      </c>
      <c r="C917" t="inlineStr">
        <is>
          <t>Analysis Result</t>
        </is>
      </c>
      <c r="D917" t="inlineStr">
        <is>
          <t>Tables</t>
        </is>
      </c>
      <c r="E917" t="inlineStr">
        <is>
          <t>Result</t>
        </is>
      </c>
      <c r="F917" t="inlineStr">
        <is>
          <t>Plane Strain</t>
        </is>
      </c>
      <c r="G917" t="inlineStr">
        <is>
          <t>Force &amp; Stress</t>
        </is>
      </c>
      <c r="T917" t="inlineStr">
        <is>
          <t>none</t>
        </is>
      </c>
      <c r="Z917">
        <f>IF(OR(K507="",K507="TABLE"),"",
_xlfn.TEXTJOIN(", ",TRUE,
IF(E507&lt;&gt;"",E507&amp;K507,""),
IF(F507&lt;&gt;"",F507&amp;K507,""),
IF(G507&lt;&gt;"",G507&amp;K507,"")
))</f>
        <v/>
      </c>
      <c r="AA917">
        <f>IF(K507="","",IF(K507="TABLE","",K507))</f>
        <v/>
      </c>
      <c r="AB917">
        <f>IF(ISNUMBER(SEARCH("기존변경필요",SUBSTITUTE(TRIM(V507),CHAR(10)," "))),"",
IFERROR(
  _xlfn.XLOOKUP(AA507,'기존 end point'!B:B,'기존 end point'!B:B,,0),
""))</f>
        <v/>
      </c>
    </row>
    <row r="918" hidden="1" ht="17.25" customHeight="1">
      <c r="A918" t="n">
        <v>506</v>
      </c>
      <c r="B918" t="inlineStr">
        <is>
          <t>civil-nx/gen-nx</t>
        </is>
      </c>
      <c r="C918" t="inlineStr">
        <is>
          <t>Analysis Result</t>
        </is>
      </c>
      <c r="D918" t="inlineStr">
        <is>
          <t>Tables</t>
        </is>
      </c>
      <c r="E918" t="inlineStr">
        <is>
          <t>Result</t>
        </is>
      </c>
      <c r="F918" t="inlineStr">
        <is>
          <t>Plane Strain</t>
        </is>
      </c>
      <c r="G918" t="inlineStr">
        <is>
          <t>Force (Local)</t>
        </is>
      </c>
      <c r="T918" t="inlineStr">
        <is>
          <t>none</t>
        </is>
      </c>
      <c r="Z918">
        <f>IF(OR(K508="",K508="TABLE"),"",
_xlfn.TEXTJOIN(", ",TRUE,
IF(E508&lt;&gt;"",E508&amp;K508,""),
IF(F508&lt;&gt;"",F508&amp;K508,""),
IF(G508&lt;&gt;"",G508&amp;K508,"")
))</f>
        <v/>
      </c>
      <c r="AA918">
        <f>IF(K508="","",IF(K508="TABLE","",K508))</f>
        <v/>
      </c>
      <c r="AB918">
        <f>IF(ISNUMBER(SEARCH("기존변경필요",SUBSTITUTE(TRIM(V508),CHAR(10)," "))),"",
IFERROR(
  _xlfn.XLOOKUP(AA508,'기존 end point'!B:B,'기존 end point'!B:B,,0),
""))</f>
        <v/>
      </c>
    </row>
    <row r="919" hidden="1" ht="17.25" customHeight="1">
      <c r="A919" t="n">
        <v>507</v>
      </c>
      <c r="B919" t="inlineStr">
        <is>
          <t>civil-nx/gen-nx</t>
        </is>
      </c>
      <c r="C919" t="inlineStr">
        <is>
          <t>Analysis Result</t>
        </is>
      </c>
      <c r="D919" t="inlineStr">
        <is>
          <t>Tables</t>
        </is>
      </c>
      <c r="E919" t="inlineStr">
        <is>
          <t>Result</t>
        </is>
      </c>
      <c r="F919" t="inlineStr">
        <is>
          <t>Plane Strain</t>
        </is>
      </c>
      <c r="G919" t="inlineStr">
        <is>
          <t>Force (Global)</t>
        </is>
      </c>
      <c r="T919" t="inlineStr">
        <is>
          <t>none</t>
        </is>
      </c>
      <c r="Z919">
        <f>IF(OR(K509="",K509="TABLE"),"",
_xlfn.TEXTJOIN(", ",TRUE,
IF(E509&lt;&gt;"",E509&amp;K509,""),
IF(F509&lt;&gt;"",F509&amp;K509,""),
IF(G509&lt;&gt;"",G509&amp;K509,"")
))</f>
        <v/>
      </c>
      <c r="AA919">
        <f>IF(K509="","",IF(K509="TABLE","",K509))</f>
        <v/>
      </c>
      <c r="AB919">
        <f>IF(ISNUMBER(SEARCH("기존변경필요",SUBSTITUTE(TRIM(V509),CHAR(10)," "))),"",
IFERROR(
  _xlfn.XLOOKUP(AA509,'기존 end point'!B:B,'기존 end point'!B:B,,0),
""))</f>
        <v/>
      </c>
    </row>
    <row r="920" hidden="1" ht="17.25" customHeight="1">
      <c r="A920" t="n">
        <v>508</v>
      </c>
      <c r="B920" t="inlineStr">
        <is>
          <t>civil-nx/gen-nx</t>
        </is>
      </c>
      <c r="C920" t="inlineStr">
        <is>
          <t>Analysis Result</t>
        </is>
      </c>
      <c r="D920" t="inlineStr">
        <is>
          <t>Tables</t>
        </is>
      </c>
      <c r="E920" t="inlineStr">
        <is>
          <t>Result</t>
        </is>
      </c>
      <c r="F920" t="inlineStr">
        <is>
          <t>Plane Strain</t>
        </is>
      </c>
      <c r="G920" t="inlineStr">
        <is>
          <t>Stress (Local)</t>
        </is>
      </c>
      <c r="T920" t="inlineStr">
        <is>
          <t>none</t>
        </is>
      </c>
      <c r="Z920">
        <f>IF(OR(K510="",K510="TABLE"),"",
_xlfn.TEXTJOIN(", ",TRUE,
IF(E510&lt;&gt;"",E510&amp;K510,""),
IF(F510&lt;&gt;"",F510&amp;K510,""),
IF(G510&lt;&gt;"",G510&amp;K510,"")
))</f>
        <v/>
      </c>
      <c r="AA920">
        <f>IF(K510="","",IF(K510="TABLE","",K510))</f>
        <v/>
      </c>
      <c r="AB920">
        <f>IF(ISNUMBER(SEARCH("기존변경필요",SUBSTITUTE(TRIM(V510),CHAR(10)," "))),"",
IFERROR(
  _xlfn.XLOOKUP(AA510,'기존 end point'!B:B,'기존 end point'!B:B,,0),
""))</f>
        <v/>
      </c>
    </row>
    <row r="921" hidden="1" ht="17.25" customHeight="1">
      <c r="A921" t="n">
        <v>509</v>
      </c>
      <c r="B921" t="inlineStr">
        <is>
          <t>civil-nx/gen-nx</t>
        </is>
      </c>
      <c r="C921" t="inlineStr">
        <is>
          <t>Analysis Result</t>
        </is>
      </c>
      <c r="D921" t="inlineStr">
        <is>
          <t>Tables</t>
        </is>
      </c>
      <c r="E921" t="inlineStr">
        <is>
          <t>Result</t>
        </is>
      </c>
      <c r="F921" t="inlineStr">
        <is>
          <t>Plane Strain</t>
        </is>
      </c>
      <c r="G921" t="inlineStr">
        <is>
          <t>Stress (Global)</t>
        </is>
      </c>
      <c r="T921" t="inlineStr">
        <is>
          <t>none</t>
        </is>
      </c>
      <c r="Z921">
        <f>IF(OR(K511="",K511="TABLE"),"",
_xlfn.TEXTJOIN(", ",TRUE,
IF(E511&lt;&gt;"",E511&amp;K511,""),
IF(F511&lt;&gt;"",F511&amp;K511,""),
IF(G511&lt;&gt;"",G511&amp;K511,"")
))</f>
        <v/>
      </c>
      <c r="AA921">
        <f>IF(K511="","",IF(K511="TABLE","",K511))</f>
        <v/>
      </c>
      <c r="AB921">
        <f>IF(ISNUMBER(SEARCH("기존변경필요",SUBSTITUTE(TRIM(V511),CHAR(10)," "))),"",
IFERROR(
  _xlfn.XLOOKUP(AA511,'기존 end point'!B:B,'기존 end point'!B:B,,0),
""))</f>
        <v/>
      </c>
    </row>
    <row r="922" hidden="1" ht="17.25" customHeight="1">
      <c r="A922" t="n">
        <v>510</v>
      </c>
      <c r="B922" t="inlineStr">
        <is>
          <t>civil-nx/gen-nx</t>
        </is>
      </c>
      <c r="C922" t="inlineStr">
        <is>
          <t>Analysis Result</t>
        </is>
      </c>
      <c r="D922" t="inlineStr">
        <is>
          <t>Tables</t>
        </is>
      </c>
      <c r="E922" t="inlineStr">
        <is>
          <t>Result</t>
        </is>
      </c>
      <c r="F922" t="inlineStr">
        <is>
          <t>Axisymmetric</t>
        </is>
      </c>
      <c r="G922" t="inlineStr">
        <is>
          <t>Force &amp; Stress</t>
        </is>
      </c>
      <c r="T922" t="inlineStr">
        <is>
          <t>none</t>
        </is>
      </c>
      <c r="Z922">
        <f>IF(OR(K512="",K512="TABLE"),"",
_xlfn.TEXTJOIN(", ",TRUE,
IF(E512&lt;&gt;"",E512&amp;K512,""),
IF(F512&lt;&gt;"",F512&amp;K512,""),
IF(G512&lt;&gt;"",G512&amp;K512,"")
))</f>
        <v/>
      </c>
      <c r="AA922">
        <f>IF(K512="","",IF(K512="TABLE","",K512))</f>
        <v/>
      </c>
      <c r="AB922">
        <f>IF(ISNUMBER(SEARCH("기존변경필요",SUBSTITUTE(TRIM(V512),CHAR(10)," "))),"",
IFERROR(
  _xlfn.XLOOKUP(AA512,'기존 end point'!B:B,'기존 end point'!B:B,,0),
""))</f>
        <v/>
      </c>
    </row>
    <row r="923" hidden="1" ht="17.25" customHeight="1">
      <c r="A923" t="n">
        <v>511</v>
      </c>
      <c r="B923" t="inlineStr">
        <is>
          <t>civil-nx/gen-nx</t>
        </is>
      </c>
      <c r="C923" t="inlineStr">
        <is>
          <t>Analysis Result</t>
        </is>
      </c>
      <c r="D923" t="inlineStr">
        <is>
          <t>Tables</t>
        </is>
      </c>
      <c r="E923" t="inlineStr">
        <is>
          <t>Result</t>
        </is>
      </c>
      <c r="F923" t="inlineStr">
        <is>
          <t>Axisymmetric</t>
        </is>
      </c>
      <c r="G923" t="inlineStr">
        <is>
          <t>Force (Local)</t>
        </is>
      </c>
      <c r="T923" t="inlineStr">
        <is>
          <t>none</t>
        </is>
      </c>
      <c r="W923" t="inlineStr">
        <is>
          <t>https://manual.midasuser.com/KR/Gen/935/Live_Load_Reduction_Factor.htm</t>
        </is>
      </c>
      <c r="Z923">
        <f>IF(OR(K513="",K513="TABLE"),"",
_xlfn.TEXTJOIN(", ",TRUE,
IF(E513&lt;&gt;"",E513&amp;K513,""),
IF(F513&lt;&gt;"",F513&amp;K513,""),
IF(G513&lt;&gt;"",G513&amp;K513,"")
))</f>
        <v/>
      </c>
      <c r="AA923">
        <f>IF(K513="","",IF(K513="TABLE","",K513))</f>
        <v/>
      </c>
      <c r="AB923">
        <f>IF(ISNUMBER(SEARCH("기존변경필요",SUBSTITUTE(TRIM(V513),CHAR(10)," "))),"",
IFERROR(
  _xlfn.XLOOKUP(AA513,'기존 end point'!B:B,'기존 end point'!B:B,,0),
""))</f>
        <v/>
      </c>
    </row>
    <row r="924">
      <c r="A924" t="n">
        <v>512</v>
      </c>
      <c r="B924" t="inlineStr">
        <is>
          <t>civil-nx/gen-nx</t>
        </is>
      </c>
      <c r="C924" t="inlineStr">
        <is>
          <t>Analysis Result</t>
        </is>
      </c>
      <c r="D924" t="inlineStr">
        <is>
          <t>Tables</t>
        </is>
      </c>
      <c r="E924" t="inlineStr">
        <is>
          <t>Result</t>
        </is>
      </c>
      <c r="F924" t="inlineStr">
        <is>
          <t>Axisymmetric</t>
        </is>
      </c>
      <c r="G924" t="inlineStr">
        <is>
          <t>Force (Global)</t>
        </is>
      </c>
      <c r="T924" t="inlineStr">
        <is>
          <t>none</t>
        </is>
      </c>
      <c r="W924" t="inlineStr">
        <is>
          <t>https://support.midasuser.com/hc/ko/articles/24184059646233-Short-Long-Term-Load-Case</t>
        </is>
      </c>
      <c r="Z924">
        <f>IF(OR(K514="",K514="TABLE"),"",
_xlfn.TEXTJOIN(", ",TRUE,
IF(E514&lt;&gt;"",E514&amp;K514,""),
IF(F514&lt;&gt;"",F514&amp;K514,""),
IF(G514&lt;&gt;"",G514&amp;K514,"")
))</f>
        <v/>
      </c>
      <c r="AA924">
        <f>IF(K514="","",IF(K514="TABLE","",K514))</f>
        <v/>
      </c>
      <c r="AB924">
        <f>IF(ISNUMBER(SEARCH("기존변경필요",SUBSTITUTE(TRIM(V514),CHAR(10)," "))),"",
IFERROR(
  _xlfn.XLOOKUP(AA514,'기존 end point'!B:B,'기존 end point'!B:B,,0),
""))</f>
        <v/>
      </c>
    </row>
    <row r="925">
      <c r="A925" t="n">
        <v>513</v>
      </c>
      <c r="B925" t="inlineStr">
        <is>
          <t>civil-nx/gen-nx</t>
        </is>
      </c>
      <c r="C925" t="inlineStr">
        <is>
          <t>Analysis Result</t>
        </is>
      </c>
      <c r="D925" t="inlineStr">
        <is>
          <t>Tables</t>
        </is>
      </c>
      <c r="E925" t="inlineStr">
        <is>
          <t>Result</t>
        </is>
      </c>
      <c r="F925" t="inlineStr">
        <is>
          <t>Axisymmetric</t>
        </is>
      </c>
      <c r="G925" t="inlineStr">
        <is>
          <t>Stress (Local)</t>
        </is>
      </c>
      <c r="T925" t="inlineStr">
        <is>
          <t>none</t>
        </is>
      </c>
      <c r="Z925">
        <f>IF(OR(K515="",K515="TABLE"),"",
_xlfn.TEXTJOIN(", ",TRUE,
IF(E515&lt;&gt;"",E515&amp;K515,""),
IF(F515&lt;&gt;"",F515&amp;K515,""),
IF(G515&lt;&gt;"",G515&amp;K515,"")
))</f>
        <v/>
      </c>
      <c r="AA925">
        <f>IF(K515="","",IF(K515="TABLE","",K515))</f>
        <v/>
      </c>
      <c r="AB925">
        <f>IF(ISNUMBER(SEARCH("기존변경필요",SUBSTITUTE(TRIM(V515),CHAR(10)," "))),"",
IFERROR(
  _xlfn.XLOOKUP(AA515,'기존 end point'!B:B,'기존 end point'!B:B,,0),
""))</f>
        <v/>
      </c>
    </row>
    <row r="926">
      <c r="A926" t="n">
        <v>514</v>
      </c>
      <c r="B926" t="inlineStr">
        <is>
          <t>civil-nx/gen-nx</t>
        </is>
      </c>
      <c r="C926" t="inlineStr">
        <is>
          <t>Analysis Result</t>
        </is>
      </c>
      <c r="D926" t="inlineStr">
        <is>
          <t>Tables</t>
        </is>
      </c>
      <c r="E926" t="inlineStr">
        <is>
          <t>Result</t>
        </is>
      </c>
      <c r="F926" t="inlineStr">
        <is>
          <t>Axisymmetric</t>
        </is>
      </c>
      <c r="G926" t="inlineStr">
        <is>
          <t>Stress (Global)</t>
        </is>
      </c>
      <c r="T926" t="inlineStr">
        <is>
          <t>none</t>
        </is>
      </c>
      <c r="W926" t="inlineStr">
        <is>
          <t>https://support.midasuser.com/hc/ko/articles/24183875280281-Load-Contribution-for-Nonlinear-Load-Case</t>
        </is>
      </c>
      <c r="Z926">
        <f>IF(OR(K516="",K516="TABLE"),"",
_xlfn.TEXTJOIN(", ",TRUE,
IF(E516&lt;&gt;"",E516&amp;K516,""),
IF(F516&lt;&gt;"",F516&amp;K516,""),
IF(G516&lt;&gt;"",G516&amp;K516,"")
))</f>
        <v/>
      </c>
      <c r="AA926">
        <f>IF(K516="","",IF(K516="TABLE","",K516))</f>
        <v/>
      </c>
      <c r="AB926">
        <f>IF(ISNUMBER(SEARCH("기존변경필요",SUBSTITUTE(TRIM(V516),CHAR(10)," "))),"",
IFERROR(
  _xlfn.XLOOKUP(AA516,'기존 end point'!B:B,'기존 end point'!B:B,,0),
""))</f>
        <v/>
      </c>
    </row>
    <row r="927">
      <c r="A927" t="n">
        <v>515</v>
      </c>
      <c r="B927" t="inlineStr">
        <is>
          <t>civil-nx/gen-nx</t>
        </is>
      </c>
      <c r="C927" t="inlineStr">
        <is>
          <t>Analysis Result</t>
        </is>
      </c>
      <c r="D927" t="inlineStr">
        <is>
          <t>Tables</t>
        </is>
      </c>
      <c r="E927" t="inlineStr">
        <is>
          <t>Result</t>
        </is>
      </c>
      <c r="F927" t="inlineStr">
        <is>
          <t>Solid</t>
        </is>
      </c>
      <c r="G927" t="inlineStr">
        <is>
          <t>Force &amp; Stress</t>
        </is>
      </c>
      <c r="T927" t="inlineStr">
        <is>
          <t>none</t>
        </is>
      </c>
      <c r="Z927">
        <f>IF(OR(K517="",K517="TABLE"),"",
_xlfn.TEXTJOIN(", ",TRUE,
IF(E517&lt;&gt;"",E517&amp;K517,""),
IF(F517&lt;&gt;"",F517&amp;K517,""),
IF(G517&lt;&gt;"",G517&amp;K517,"")
))</f>
        <v/>
      </c>
      <c r="AA927">
        <f>IF(K517="","",IF(K517="TABLE","",K517))</f>
        <v/>
      </c>
      <c r="AB927">
        <f>IF(ISNUMBER(SEARCH("기존변경필요",SUBSTITUTE(TRIM(V517),CHAR(10)," "))),"",
IFERROR(
  _xlfn.XLOOKUP(AA517,'기존 end point'!B:B,'기존 end point'!B:B,,0),
""))</f>
        <v/>
      </c>
    </row>
    <row r="928">
      <c r="A928" t="n">
        <v>516</v>
      </c>
      <c r="B928" t="inlineStr">
        <is>
          <t>civil-nx/gen-nx</t>
        </is>
      </c>
      <c r="C928" t="inlineStr">
        <is>
          <t>Analysis Result</t>
        </is>
      </c>
      <c r="D928" t="inlineStr">
        <is>
          <t>Tables</t>
        </is>
      </c>
      <c r="E928" t="inlineStr">
        <is>
          <t>Result</t>
        </is>
      </c>
      <c r="F928" t="inlineStr">
        <is>
          <t>Solid</t>
        </is>
      </c>
      <c r="G928" t="inlineStr">
        <is>
          <t>Force (Local)</t>
        </is>
      </c>
      <c r="T928" t="inlineStr">
        <is>
          <t>none</t>
        </is>
      </c>
      <c r="Z928">
        <f>IF(OR(K518="",K518="TABLE"),"",
_xlfn.TEXTJOIN(", ",TRUE,
IF(E518&lt;&gt;"",E518&amp;K518,""),
IF(F518&lt;&gt;"",F518&amp;K518,""),
IF(G518&lt;&gt;"",G518&amp;K518,"")
))</f>
        <v/>
      </c>
      <c r="AA928">
        <f>IF(K518="","",IF(K518="TABLE","",K518))</f>
        <v/>
      </c>
      <c r="AB928">
        <f>IF(ISNUMBER(SEARCH("기존변경필요",SUBSTITUTE(TRIM(V518),CHAR(10)," "))),"",
IFERROR(
  _xlfn.XLOOKUP(AA518,'기존 end point'!B:B,'기존 end point'!B:B,,0),
""))</f>
        <v/>
      </c>
    </row>
    <row r="929">
      <c r="A929" t="n">
        <v>517</v>
      </c>
      <c r="B929" t="inlineStr">
        <is>
          <t>civil-nx/gen-nx</t>
        </is>
      </c>
      <c r="C929" t="inlineStr">
        <is>
          <t>Analysis Result</t>
        </is>
      </c>
      <c r="D929" t="inlineStr">
        <is>
          <t>Tables</t>
        </is>
      </c>
      <c r="E929" t="inlineStr">
        <is>
          <t>Result</t>
        </is>
      </c>
      <c r="F929" t="inlineStr">
        <is>
          <t>Solid</t>
        </is>
      </c>
      <c r="G929" t="inlineStr">
        <is>
          <t>Force (Global)</t>
        </is>
      </c>
      <c r="T929" t="inlineStr">
        <is>
          <t>none</t>
        </is>
      </c>
      <c r="Z929">
        <f>IF(OR(K519="",K519="TABLE"),"",
_xlfn.TEXTJOIN(", ",TRUE,
IF(E519&lt;&gt;"",E519&amp;K519,""),
IF(F519&lt;&gt;"",F519&amp;K519,""),
IF(G519&lt;&gt;"",G519&amp;K519,"")
))</f>
        <v/>
      </c>
      <c r="AA929">
        <f>IF(K519="","",IF(K519="TABLE","",K519))</f>
        <v/>
      </c>
      <c r="AB929">
        <f>IF(ISNUMBER(SEARCH("기존변경필요",SUBSTITUTE(TRIM(V519),CHAR(10)," "))),"",
IFERROR(
  _xlfn.XLOOKUP(AA519,'기존 end point'!B:B,'기존 end point'!B:B,,0),
""))</f>
        <v/>
      </c>
    </row>
    <row r="930">
      <c r="A930" t="n">
        <v>518</v>
      </c>
      <c r="B930" t="inlineStr">
        <is>
          <t>civil-nx/gen-nx</t>
        </is>
      </c>
      <c r="C930" t="inlineStr">
        <is>
          <t>Analysis Result</t>
        </is>
      </c>
      <c r="D930" t="inlineStr">
        <is>
          <t>Tables</t>
        </is>
      </c>
      <c r="E930" t="inlineStr">
        <is>
          <t>Result</t>
        </is>
      </c>
      <c r="F930" t="inlineStr">
        <is>
          <t>Solid</t>
        </is>
      </c>
      <c r="G930" t="inlineStr">
        <is>
          <t>Stress (Local)</t>
        </is>
      </c>
      <c r="T930" t="inlineStr">
        <is>
          <t>none</t>
        </is>
      </c>
      <c r="Z930">
        <f>IF(OR(K520="",K520="TABLE"),"",
_xlfn.TEXTJOIN(", ",TRUE,
IF(E520&lt;&gt;"",E520&amp;K520,""),
IF(F520&lt;&gt;"",F520&amp;K520,""),
IF(G520&lt;&gt;"",G520&amp;K520,"")
))</f>
        <v/>
      </c>
      <c r="AA930">
        <f>IF(K520="","",IF(K520="TABLE","",K520))</f>
        <v/>
      </c>
      <c r="AB930">
        <f>IF(ISNUMBER(SEARCH("기존변경필요",SUBSTITUTE(TRIM(V520),CHAR(10)," "))),"",
IFERROR(
  _xlfn.XLOOKUP(AA520,'기존 end point'!B:B,'기존 end point'!B:B,,0),
""))</f>
        <v/>
      </c>
    </row>
    <row r="931">
      <c r="A931" t="n">
        <v>519</v>
      </c>
      <c r="B931" t="inlineStr">
        <is>
          <t>civil-nx/gen-nx</t>
        </is>
      </c>
      <c r="C931" t="inlineStr">
        <is>
          <t>Analysis Result</t>
        </is>
      </c>
      <c r="D931" t="inlineStr">
        <is>
          <t>Tables</t>
        </is>
      </c>
      <c r="E931" t="inlineStr">
        <is>
          <t>Result</t>
        </is>
      </c>
      <c r="F931" t="inlineStr">
        <is>
          <t>Solid</t>
        </is>
      </c>
      <c r="G931" t="inlineStr">
        <is>
          <t>Stress (Global)</t>
        </is>
      </c>
      <c r="T931" t="inlineStr">
        <is>
          <t>none</t>
        </is>
      </c>
      <c r="W931" t="inlineStr">
        <is>
          <t>https://manual.midasuser.com/KR/Gen/935/Live_Load_Reduction_Factor.htm</t>
        </is>
      </c>
      <c r="Z931">
        <f>IF(OR(K521="",K521="TABLE"),"",
_xlfn.TEXTJOIN(", ",TRUE,
IF(E521&lt;&gt;"",E521&amp;K521,""),
IF(F521&lt;&gt;"",F521&amp;K521,""),
IF(G521&lt;&gt;"",G521&amp;K521,"")
))</f>
        <v/>
      </c>
      <c r="AA931">
        <f>IF(K521="","",IF(K521="TABLE","",K521))</f>
        <v/>
      </c>
      <c r="AB931">
        <f>IF(ISNUMBER(SEARCH("기존변경필요",SUBSTITUTE(TRIM(V521),CHAR(10)," "))),"",
IFERROR(
  _xlfn.XLOOKUP(AA521,'기존 end point'!B:B,'기존 end point'!B:B,,0),
""))</f>
        <v/>
      </c>
    </row>
    <row r="932">
      <c r="A932" t="n">
        <v>520</v>
      </c>
      <c r="B932" t="inlineStr">
        <is>
          <t>civil-nx/gen-nx</t>
        </is>
      </c>
      <c r="C932" t="inlineStr">
        <is>
          <t>Analysis Result</t>
        </is>
      </c>
      <c r="D932" t="inlineStr">
        <is>
          <t>Tables</t>
        </is>
      </c>
      <c r="E932" t="inlineStr">
        <is>
          <t>Result</t>
        </is>
      </c>
      <c r="F932" t="inlineStr">
        <is>
          <t>Solid</t>
        </is>
      </c>
      <c r="G932" t="inlineStr">
        <is>
          <t>Strain (Local)</t>
        </is>
      </c>
      <c r="T932" t="inlineStr">
        <is>
          <t>none</t>
        </is>
      </c>
      <c r="W932" t="inlineStr">
        <is>
          <t>https://support.midasuser.com/hc/ko/articles/24184059646233-Short-Long-Term-Load-Case</t>
        </is>
      </c>
      <c r="Z932">
        <f>IF(OR(K522="",K522="TABLE"),"",
_xlfn.TEXTJOIN(", ",TRUE,
IF(E522&lt;&gt;"",E522&amp;K522,""),
IF(F522&lt;&gt;"",F522&amp;K522,""),
IF(G522&lt;&gt;"",G522&amp;K522,"")
))</f>
        <v/>
      </c>
      <c r="AA932">
        <f>IF(K522="","",IF(K522="TABLE","",K522))</f>
        <v/>
      </c>
      <c r="AB932">
        <f>IF(ISNUMBER(SEARCH("기존변경필요",SUBSTITUTE(TRIM(V522),CHAR(10)," "))),"",
IFERROR(
  _xlfn.XLOOKUP(AA522,'기존 end point'!B:B,'기존 end point'!B:B,,0),
""))</f>
        <v/>
      </c>
    </row>
    <row r="933">
      <c r="A933" t="n">
        <v>521</v>
      </c>
      <c r="B933" t="inlineStr">
        <is>
          <t>civil-nx/gen-nx</t>
        </is>
      </c>
      <c r="C933" t="inlineStr">
        <is>
          <t>Analysis Result</t>
        </is>
      </c>
      <c r="D933" t="inlineStr">
        <is>
          <t>Tables</t>
        </is>
      </c>
      <c r="E933" t="inlineStr">
        <is>
          <t>Result</t>
        </is>
      </c>
      <c r="F933" t="inlineStr">
        <is>
          <t>Solid</t>
        </is>
      </c>
      <c r="G933" t="inlineStr">
        <is>
          <t>Strain (Global)</t>
        </is>
      </c>
      <c r="T933" t="inlineStr">
        <is>
          <t>none</t>
        </is>
      </c>
      <c r="W933" t="inlineStr">
        <is>
          <t>https://support.midasuser.com/hc/ko/articles/24203490041881-Equivalent-Moment-correction-Factor-Cm</t>
        </is>
      </c>
      <c r="Z933">
        <f>IF(OR(K523="",K523="TABLE"),"",
_xlfn.TEXTJOIN(", ",TRUE,
IF(E523&lt;&gt;"",E523&amp;K523,""),
IF(F523&lt;&gt;"",F523&amp;K523,""),
IF(G523&lt;&gt;"",G523&amp;K523,"")
))</f>
        <v/>
      </c>
      <c r="AA933">
        <f>IF(K523="","",IF(K523="TABLE","",K523))</f>
        <v/>
      </c>
      <c r="AB933">
        <f>IF(ISNUMBER(SEARCH("기존변경필요",SUBSTITUTE(TRIM(V523),CHAR(10)," "))),"",
IFERROR(
  _xlfn.XLOOKUP(AA523,'기존 end point'!B:B,'기존 end point'!B:B,,0),
""))</f>
        <v/>
      </c>
    </row>
    <row r="934">
      <c r="A934" t="n">
        <v>522</v>
      </c>
      <c r="B934" t="inlineStr">
        <is>
          <t>gen-nx</t>
        </is>
      </c>
      <c r="C934" t="inlineStr">
        <is>
          <t>Analysis Result</t>
        </is>
      </c>
      <c r="D934" t="inlineStr">
        <is>
          <t>Tables</t>
        </is>
      </c>
      <c r="E934" t="inlineStr">
        <is>
          <t>Result</t>
        </is>
      </c>
      <c r="F934" t="inlineStr">
        <is>
          <t>Wall</t>
        </is>
      </c>
      <c r="G934" t="inlineStr">
        <is>
          <t>Force/Moment</t>
        </is>
      </c>
      <c r="T934" t="inlineStr">
        <is>
          <t>none</t>
        </is>
      </c>
      <c r="W934" t="inlineStr">
        <is>
          <t>https://support.midasuser.com/hc/ko/articles/24183875280281-Load-Contribution-for-Nonlinear-Load-Case</t>
        </is>
      </c>
      <c r="Z934">
        <f>IF(OR(K524="",K524="TABLE"),"",
_xlfn.TEXTJOIN(", ",TRUE,
IF(E524&lt;&gt;"",E524&amp;K524,""),
IF(F524&lt;&gt;"",F524&amp;K524,""),
IF(G524&lt;&gt;"",G524&amp;K524,"")
))</f>
        <v/>
      </c>
      <c r="AA934">
        <f>IF(K524="","",IF(K524="TABLE","",K524))</f>
        <v/>
      </c>
      <c r="AB934">
        <f>IF(ISNUMBER(SEARCH("기존변경필요",SUBSTITUTE(TRIM(V524),CHAR(10)," "))),"",
IFERROR(
  _xlfn.XLOOKUP(AA524,'기존 end point'!B:B,'기존 end point'!B:B,,0),
""))</f>
        <v/>
      </c>
    </row>
    <row r="935">
      <c r="A935" t="n">
        <v>523</v>
      </c>
      <c r="B935" t="inlineStr">
        <is>
          <t>civil-nx/gen-nx</t>
        </is>
      </c>
      <c r="C935" t="inlineStr">
        <is>
          <t>Analysis Result</t>
        </is>
      </c>
      <c r="D935" t="inlineStr">
        <is>
          <t>Tables</t>
        </is>
      </c>
      <c r="E935" t="inlineStr">
        <is>
          <t>Result</t>
        </is>
      </c>
      <c r="F935" t="inlineStr">
        <is>
          <t>Elastic Link</t>
        </is>
      </c>
      <c r="T935" t="inlineStr">
        <is>
          <t>none</t>
        </is>
      </c>
      <c r="Z935">
        <f>IF(OR(K525="",K525="TABLE"),"",
_xlfn.TEXTJOIN(", ",TRUE,
IF(E525&lt;&gt;"",E525&amp;K525,""),
IF(F525&lt;&gt;"",F525&amp;K525,""),
IF(G525&lt;&gt;"",G525&amp;K525,"")
))</f>
        <v/>
      </c>
      <c r="AA935">
        <f>IF(K525="","",IF(K525="TABLE","",K525))</f>
        <v/>
      </c>
      <c r="AB935">
        <f>IF(ISNUMBER(SEARCH("기존변경필요",SUBSTITUTE(TRIM(V525),CHAR(10)," "))),"",
IFERROR(
  _xlfn.XLOOKUP(AA525,'기존 end point'!B:B,'기존 end point'!B:B,,0),
""))</f>
        <v/>
      </c>
    </row>
    <row r="936">
      <c r="A936" t="n">
        <v>524</v>
      </c>
      <c r="B936" t="inlineStr">
        <is>
          <t>civil-nx/gen-nx</t>
        </is>
      </c>
      <c r="C936" t="inlineStr">
        <is>
          <t>Analysis Result</t>
        </is>
      </c>
      <c r="D936" t="inlineStr">
        <is>
          <t>Tables</t>
        </is>
      </c>
      <c r="E936" t="inlineStr">
        <is>
          <t>Result</t>
        </is>
      </c>
      <c r="F936" t="inlineStr">
        <is>
          <t>General Link</t>
        </is>
      </c>
      <c r="T936" t="inlineStr">
        <is>
          <t>none</t>
        </is>
      </c>
      <c r="Z936">
        <f>IF(OR(K526="",K526="TABLE"),"",
_xlfn.TEXTJOIN(", ",TRUE,
IF(E526&lt;&gt;"",E526&amp;K526,""),
IF(F526&lt;&gt;"",F526&amp;K526,""),
IF(G526&lt;&gt;"",G526&amp;K526,"")
))</f>
        <v/>
      </c>
      <c r="AA936">
        <f>IF(K526="","",IF(K526="TABLE","",K526))</f>
        <v/>
      </c>
      <c r="AB936">
        <f>IF(ISNUMBER(SEARCH("기존변경필요",SUBSTITUTE(TRIM(V526),CHAR(10)," "))),"",
IFERROR(
  _xlfn.XLOOKUP(AA526,'기존 end point'!B:B,'기존 end point'!B:B,,0),
""))</f>
        <v/>
      </c>
    </row>
    <row r="937">
      <c r="A937" t="n">
        <v>525</v>
      </c>
      <c r="B937" t="inlineStr">
        <is>
          <t>civil-nx/gen-nx</t>
        </is>
      </c>
      <c r="C937" t="inlineStr">
        <is>
          <t>Analysis Result</t>
        </is>
      </c>
      <c r="D937" t="inlineStr">
        <is>
          <t>Tables</t>
        </is>
      </c>
      <c r="E937" t="inlineStr">
        <is>
          <t>Result</t>
        </is>
      </c>
      <c r="F937" t="inlineStr">
        <is>
          <t>Vibration Mode Shape</t>
        </is>
      </c>
      <c r="T937" t="inlineStr">
        <is>
          <t>none</t>
        </is>
      </c>
      <c r="Z937">
        <f>IF(OR(K527="",K527="TABLE"),"",
_xlfn.TEXTJOIN(", ",TRUE,
IF(E527&lt;&gt;"",E527&amp;K527,""),
IF(F527&lt;&gt;"",F527&amp;K527,""),
IF(G527&lt;&gt;"",G527&amp;K527,"")
))</f>
        <v/>
      </c>
      <c r="AA937">
        <f>IF(K527="","",IF(K527="TABLE","",K527))</f>
        <v/>
      </c>
      <c r="AB937">
        <f>IF(ISNUMBER(SEARCH("기존변경필요",SUBSTITUTE(TRIM(V527),CHAR(10)," "))),"",
IFERROR(
  _xlfn.XLOOKUP(AA527,'기존 end point'!B:B,'기존 end point'!B:B,,0),
""))</f>
        <v/>
      </c>
    </row>
    <row r="938">
      <c r="A938" t="n">
        <v>526</v>
      </c>
      <c r="B938" t="inlineStr">
        <is>
          <t>civil-nx/gen-nx</t>
        </is>
      </c>
      <c r="C938" t="inlineStr">
        <is>
          <t>Analysis Result</t>
        </is>
      </c>
      <c r="D938" t="inlineStr">
        <is>
          <t>Tables</t>
        </is>
      </c>
      <c r="E938" t="inlineStr">
        <is>
          <t>Result</t>
        </is>
      </c>
      <c r="F938" t="inlineStr">
        <is>
          <t>Buckling Mode Shape</t>
        </is>
      </c>
      <c r="T938" t="inlineStr">
        <is>
          <t>none</t>
        </is>
      </c>
      <c r="Z938">
        <f>IF(OR(K528="",K528="TABLE"),"",
_xlfn.TEXTJOIN(", ",TRUE,
IF(E528&lt;&gt;"",E528&amp;K528,""),
IF(F528&lt;&gt;"",F528&amp;K528,""),
IF(G528&lt;&gt;"",G528&amp;K528,"")
))</f>
        <v/>
      </c>
      <c r="AA938">
        <f>IF(K528="","",IF(K528="TABLE","",K528))</f>
        <v/>
      </c>
      <c r="AB938">
        <f>IF(ISNUMBER(SEARCH("기존변경필요",SUBSTITUTE(TRIM(V528),CHAR(10)," "))),"",
IFERROR(
  _xlfn.XLOOKUP(AA528,'기존 end point'!B:B,'기존 end point'!B:B,,0),
""))</f>
        <v/>
      </c>
    </row>
    <row r="939">
      <c r="A939" t="n">
        <v>527</v>
      </c>
      <c r="B939" t="inlineStr">
        <is>
          <t>civil-nx/gen-nx</t>
        </is>
      </c>
      <c r="C939" t="inlineStr">
        <is>
          <t>Analysis Result</t>
        </is>
      </c>
      <c r="D939" t="inlineStr">
        <is>
          <t>Tables</t>
        </is>
      </c>
      <c r="E939" t="inlineStr">
        <is>
          <t>Result</t>
        </is>
      </c>
      <c r="F939" t="inlineStr">
        <is>
          <t>Nodal Results of RS</t>
        </is>
      </c>
      <c r="T939" t="inlineStr">
        <is>
          <t>none</t>
        </is>
      </c>
      <c r="Z939">
        <f>IF(OR(K529="",K529="TABLE"),"",
_xlfn.TEXTJOIN(", ",TRUE,
IF(E529&lt;&gt;"",E529&amp;K529,""),
IF(F529&lt;&gt;"",F529&amp;K529,""),
IF(G529&lt;&gt;"",G529&amp;K529,"")
))</f>
        <v/>
      </c>
      <c r="AA939">
        <f>IF(K529="","",IF(K529="TABLE","",K529))</f>
        <v/>
      </c>
      <c r="AB939">
        <f>IF(ISNUMBER(SEARCH("기존변경필요",SUBSTITUTE(TRIM(V529),CHAR(10)," "))),"",
IFERROR(
  _xlfn.XLOOKUP(AA529,'기존 end point'!B:B,'기존 end point'!B:B,,0),
""))</f>
        <v/>
      </c>
    </row>
    <row r="940">
      <c r="A940" t="n">
        <v>528</v>
      </c>
      <c r="B940" t="inlineStr">
        <is>
          <t>civil-nx/gen-nx</t>
        </is>
      </c>
      <c r="C940" t="inlineStr">
        <is>
          <t>Analysis Result</t>
        </is>
      </c>
      <c r="D940" t="inlineStr">
        <is>
          <t>Tables</t>
        </is>
      </c>
      <c r="E940" t="inlineStr">
        <is>
          <t>Result</t>
        </is>
      </c>
      <c r="F940" t="inlineStr">
        <is>
          <t>Tendon</t>
        </is>
      </c>
      <c r="G940" t="inlineStr">
        <is>
          <t>Tendon Coordinates</t>
        </is>
      </c>
      <c r="T940" t="inlineStr">
        <is>
          <t>none</t>
        </is>
      </c>
      <c r="Z940">
        <f>IF(OR(K530="",K530="TABLE"),"",
_xlfn.TEXTJOIN(", ",TRUE,
IF(E530&lt;&gt;"",E530&amp;K530,""),
IF(F530&lt;&gt;"",F530&amp;K530,""),
IF(G530&lt;&gt;"",G530&amp;K530,"")
))</f>
        <v/>
      </c>
      <c r="AA940">
        <f>IF(K530="","",IF(K530="TABLE","",K530))</f>
        <v/>
      </c>
      <c r="AB940">
        <f>IF(ISNUMBER(SEARCH("기존변경필요",SUBSTITUTE(TRIM(V530),CHAR(10)," "))),"",
IFERROR(
  _xlfn.XLOOKUP(AA530,'기존 end point'!B:B,'기존 end point'!B:B,,0),
""))</f>
        <v/>
      </c>
    </row>
    <row r="941">
      <c r="A941" t="n">
        <v>529</v>
      </c>
      <c r="B941" t="inlineStr">
        <is>
          <t>civil-nx/gen-nx</t>
        </is>
      </c>
      <c r="C941" t="inlineStr">
        <is>
          <t>Analysis Result</t>
        </is>
      </c>
      <c r="D941" t="inlineStr">
        <is>
          <t>Tables</t>
        </is>
      </c>
      <c r="E941" t="inlineStr">
        <is>
          <t>Result</t>
        </is>
      </c>
      <c r="F941" t="inlineStr">
        <is>
          <t>Tendon</t>
        </is>
      </c>
      <c r="G941" t="inlineStr">
        <is>
          <t>Tendon Elongation</t>
        </is>
      </c>
      <c r="T941" t="inlineStr">
        <is>
          <t>none</t>
        </is>
      </c>
      <c r="W941" t="inlineStr">
        <is>
          <t>https://support.midasuser.com/hc/ko/articles/24203490041881-Equivalent-Moment-correction-Factor-Cm</t>
        </is>
      </c>
      <c r="Z941">
        <f>IF(OR(K531="",K531="TABLE"),"",
_xlfn.TEXTJOIN(", ",TRUE,
IF(E531&lt;&gt;"",E531&amp;K531,""),
IF(F531&lt;&gt;"",F531&amp;K531,""),
IF(G531&lt;&gt;"",G531&amp;K531,"")
))</f>
        <v/>
      </c>
      <c r="AA941">
        <f>IF(K531="","",IF(K531="TABLE","",K531))</f>
        <v/>
      </c>
      <c r="AB941">
        <f>IF(ISNUMBER(SEARCH("기존변경필요",SUBSTITUTE(TRIM(V531),CHAR(10)," "))),"",
IFERROR(
  _xlfn.XLOOKUP(AA531,'기존 end point'!B:B,'기존 end point'!B:B,,0),
""))</f>
        <v/>
      </c>
    </row>
    <row r="942">
      <c r="A942" t="n">
        <v>530</v>
      </c>
      <c r="B942" t="inlineStr">
        <is>
          <t>civil-nx/gen-nx</t>
        </is>
      </c>
      <c r="C942" t="inlineStr">
        <is>
          <t>Analysis Result</t>
        </is>
      </c>
      <c r="D942" t="inlineStr">
        <is>
          <t>Tables</t>
        </is>
      </c>
      <c r="E942" t="inlineStr">
        <is>
          <t>Result</t>
        </is>
      </c>
      <c r="F942" t="inlineStr">
        <is>
          <t>Tendon</t>
        </is>
      </c>
      <c r="G942" t="inlineStr">
        <is>
          <t>Tendon Weight</t>
        </is>
      </c>
      <c r="T942" t="inlineStr">
        <is>
          <t>none</t>
        </is>
      </c>
      <c r="W942" t="inlineStr">
        <is>
          <t>https://support.midasuser.com/hc/ko/articles/24203685611673-Moment-Magnifier-B1-Delta-b-B2-Delta-s</t>
        </is>
      </c>
      <c r="Z942">
        <f>IF(OR(K532="",K532="TABLE"),"",
_xlfn.TEXTJOIN(", ",TRUE,
IF(E532&lt;&gt;"",E532&amp;K532,""),
IF(F532&lt;&gt;"",F532&amp;K532,""),
IF(G532&lt;&gt;"",G532&amp;K532,"")
))</f>
        <v/>
      </c>
      <c r="AA942">
        <f>IF(K532="","",IF(K532="TABLE","",K532))</f>
        <v/>
      </c>
      <c r="AB942">
        <f>IF(ISNUMBER(SEARCH("기존변경필요",SUBSTITUTE(TRIM(V532),CHAR(10)," "))),"",
IFERROR(
  _xlfn.XLOOKUP(AA532,'기존 end point'!B:B,'기존 end point'!B:B,,0),
""))</f>
        <v/>
      </c>
    </row>
    <row r="943">
      <c r="A943" t="n">
        <v>531</v>
      </c>
      <c r="B943" t="inlineStr">
        <is>
          <t>civil-nx/gen-nx</t>
        </is>
      </c>
      <c r="C943" t="inlineStr">
        <is>
          <t>Analysis Result</t>
        </is>
      </c>
      <c r="D943" t="inlineStr">
        <is>
          <t>Tables</t>
        </is>
      </c>
      <c r="E943" t="inlineStr">
        <is>
          <t>Result</t>
        </is>
      </c>
      <c r="F943" t="inlineStr">
        <is>
          <t>Composite Section for C.S.</t>
        </is>
      </c>
      <c r="G943" t="inlineStr">
        <is>
          <t>Beam Force &amp; Stress</t>
        </is>
      </c>
      <c r="T943" t="inlineStr">
        <is>
          <t>none</t>
        </is>
      </c>
      <c r="Z943">
        <f>IF(OR(K533="",K533="TABLE"),"",
_xlfn.TEXTJOIN(", ",TRUE,
IF(E533&lt;&gt;"",E533&amp;K533,""),
IF(F533&lt;&gt;"",F533&amp;K533,""),
IF(G533&lt;&gt;"",G533&amp;K533,"")
))</f>
        <v/>
      </c>
      <c r="AA943">
        <f>IF(K533="","",IF(K533="TABLE","",K533))</f>
        <v/>
      </c>
      <c r="AB943">
        <f>IF(ISNUMBER(SEARCH("기존변경필요",SUBSTITUTE(TRIM(V533),CHAR(10)," "))),"",
IFERROR(
  _xlfn.XLOOKUP(AA533,'기존 end point'!B:B,'기존 end point'!B:B,,0),
""))</f>
        <v/>
      </c>
    </row>
    <row r="944">
      <c r="A944" t="n">
        <v>532</v>
      </c>
      <c r="B944" t="inlineStr">
        <is>
          <t>civil-nx/gen-nx</t>
        </is>
      </c>
      <c r="C944" t="inlineStr">
        <is>
          <t>Analysis Result</t>
        </is>
      </c>
      <c r="D944" t="inlineStr">
        <is>
          <t>Tables</t>
        </is>
      </c>
      <c r="E944" t="inlineStr">
        <is>
          <t>Result</t>
        </is>
      </c>
      <c r="F944" t="inlineStr">
        <is>
          <t>Composite Section for C.S.</t>
        </is>
      </c>
      <c r="G944" t="inlineStr">
        <is>
          <t>Beam Force</t>
        </is>
      </c>
      <c r="T944" t="inlineStr">
        <is>
          <t>none</t>
        </is>
      </c>
      <c r="Z944">
        <f>IF(OR(K534="",K534="TABLE"),"",
_xlfn.TEXTJOIN(", ",TRUE,
IF(E534&lt;&gt;"",E534&amp;K534,""),
IF(F534&lt;&gt;"",F534&amp;K534,""),
IF(G534&lt;&gt;"",G534&amp;K534,"")
))</f>
        <v/>
      </c>
      <c r="AA944">
        <f>IF(K534="","",IF(K534="TABLE","",K534))</f>
        <v/>
      </c>
      <c r="AB944">
        <f>IF(ISNUMBER(SEARCH("기존변경필요",SUBSTITUTE(TRIM(V534),CHAR(10)," "))),"",
IFERROR(
  _xlfn.XLOOKUP(AA534,'기존 end point'!B:B,'기존 end point'!B:B,,0),
""))</f>
        <v/>
      </c>
    </row>
    <row r="945">
      <c r="A945" t="n">
        <v>533</v>
      </c>
      <c r="B945" t="inlineStr">
        <is>
          <t>civil-nx/gen-nx</t>
        </is>
      </c>
      <c r="C945" t="inlineStr">
        <is>
          <t>Analysis Result</t>
        </is>
      </c>
      <c r="D945" t="inlineStr">
        <is>
          <t>Tables</t>
        </is>
      </c>
      <c r="E945" t="inlineStr">
        <is>
          <t>Result</t>
        </is>
      </c>
      <c r="F945" t="inlineStr">
        <is>
          <t>Composite Section for C.S.</t>
        </is>
      </c>
      <c r="G945" t="inlineStr">
        <is>
          <t>Beam Stress</t>
        </is>
      </c>
      <c r="T945" t="inlineStr">
        <is>
          <t>none</t>
        </is>
      </c>
      <c r="Z945">
        <f>IF(OR(K535="",K535="TABLE"),"",
_xlfn.TEXTJOIN(", ",TRUE,
IF(E535&lt;&gt;"",E535&amp;K535,""),
IF(F535&lt;&gt;"",F535&amp;K535,""),
IF(G535&lt;&gt;"",G535&amp;K535,"")
))</f>
        <v/>
      </c>
      <c r="AA945">
        <f>IF(K535="","",IF(K535="TABLE","",K535))</f>
        <v/>
      </c>
      <c r="AB945">
        <f>IF(ISNUMBER(SEARCH("기존변경필요",SUBSTITUTE(TRIM(V535),CHAR(10)," "))),"",
IFERROR(
  _xlfn.XLOOKUP(AA535,'기존 end point'!B:B,'기존 end point'!B:B,,0),
""))</f>
        <v/>
      </c>
    </row>
    <row r="946">
      <c r="A946" t="n">
        <v>534</v>
      </c>
      <c r="B946" t="inlineStr">
        <is>
          <t>gen-nx</t>
        </is>
      </c>
      <c r="C946" t="inlineStr">
        <is>
          <t>Analysis Result</t>
        </is>
      </c>
      <c r="D946" t="inlineStr">
        <is>
          <t>Tables</t>
        </is>
      </c>
      <c r="E946" t="inlineStr">
        <is>
          <t>Result</t>
        </is>
      </c>
      <c r="F946" t="inlineStr">
        <is>
          <t>Composite Section for C.S.</t>
        </is>
      </c>
      <c r="G946" t="inlineStr">
        <is>
          <t>Self-Constraint Force &amp; Stress</t>
        </is>
      </c>
      <c r="T946" t="inlineStr">
        <is>
          <t>none</t>
        </is>
      </c>
      <c r="Z946">
        <f>IF(OR(K536="",K536="TABLE"),"",
_xlfn.TEXTJOIN(", ",TRUE,
IF(E536&lt;&gt;"",E536&amp;K536,""),
IF(F536&lt;&gt;"",F536&amp;K536,""),
IF(G536&lt;&gt;"",G536&amp;K536,"")
))</f>
        <v/>
      </c>
      <c r="AA946">
        <f>IF(K536="","",IF(K536="TABLE","",K536))</f>
        <v/>
      </c>
      <c r="AB946">
        <f>IF(ISNUMBER(SEARCH("기존변경필요",SUBSTITUTE(TRIM(V536),CHAR(10)," "))),"",
IFERROR(
  _xlfn.XLOOKUP(AA536,'기존 end point'!B:B,'기존 end point'!B:B,,0),
""))</f>
        <v/>
      </c>
    </row>
    <row r="947">
      <c r="A947" t="n">
        <v>535</v>
      </c>
      <c r="B947" t="inlineStr">
        <is>
          <t>gen-nx</t>
        </is>
      </c>
      <c r="C947" t="inlineStr">
        <is>
          <t>Analysis Result</t>
        </is>
      </c>
      <c r="D947" t="inlineStr">
        <is>
          <t>Tables</t>
        </is>
      </c>
      <c r="E947" t="inlineStr">
        <is>
          <t>Result</t>
        </is>
      </c>
      <c r="F947" t="inlineStr">
        <is>
          <t>Displacement Participation Factor</t>
        </is>
      </c>
      <c r="G947" t="inlineStr">
        <is>
          <t>Element</t>
        </is>
      </c>
      <c r="T947" t="inlineStr">
        <is>
          <t>none</t>
        </is>
      </c>
      <c r="Z947">
        <f>IF(OR(K537="",K537="TABLE"),"",
_xlfn.TEXTJOIN(", ",TRUE,
IF(E537&lt;&gt;"",E537&amp;K537,""),
IF(F537&lt;&gt;"",F537&amp;K537,""),
IF(G537&lt;&gt;"",G537&amp;K537,"")
))</f>
        <v/>
      </c>
      <c r="AA947">
        <f>IF(K537="","",IF(K537="TABLE","",K537))</f>
        <v/>
      </c>
      <c r="AB947">
        <f>IF(ISNUMBER(SEARCH("기존변경필요",SUBSTITUTE(TRIM(V537),CHAR(10)," "))),"",
IFERROR(
  _xlfn.XLOOKUP(AA537,'기존 end point'!B:B,'기존 end point'!B:B,,0),
""))</f>
        <v/>
      </c>
    </row>
    <row r="948">
      <c r="A948" t="n">
        <v>536</v>
      </c>
      <c r="B948" t="inlineStr">
        <is>
          <t>gen-nx</t>
        </is>
      </c>
      <c r="C948" t="inlineStr">
        <is>
          <t>Analysis Result</t>
        </is>
      </c>
      <c r="D948" t="inlineStr">
        <is>
          <t>Tables</t>
        </is>
      </c>
      <c r="E948" t="inlineStr">
        <is>
          <t>Result</t>
        </is>
      </c>
      <c r="F948" t="inlineStr">
        <is>
          <t>Displacement Participation Factor</t>
        </is>
      </c>
      <c r="G948" t="inlineStr">
        <is>
          <t>Section/Thickness</t>
        </is>
      </c>
      <c r="T948" t="inlineStr">
        <is>
          <t>none</t>
        </is>
      </c>
      <c r="Z948">
        <f>IF(OR(K538="",K538="TABLE"),"",
_xlfn.TEXTJOIN(", ",TRUE,
IF(E538&lt;&gt;"",E538&amp;K538,""),
IF(F538&lt;&gt;"",F538&amp;K538,""),
IF(G538&lt;&gt;"",G538&amp;K538,"")
))</f>
        <v/>
      </c>
      <c r="AA948">
        <f>IF(K538="","",IF(K538="TABLE","",K538))</f>
        <v/>
      </c>
      <c r="AB948">
        <f>IF(ISNUMBER(SEARCH("기존변경필요",SUBSTITUTE(TRIM(V538),CHAR(10)," "))),"",
IFERROR(
  _xlfn.XLOOKUP(AA538,'기존 end point'!B:B,'기존 end point'!B:B,,0),
""))</f>
        <v/>
      </c>
    </row>
    <row r="949">
      <c r="A949" t="n">
        <v>537</v>
      </c>
      <c r="B949" t="inlineStr">
        <is>
          <t>civil-nx/gen-nx</t>
        </is>
      </c>
      <c r="C949" t="inlineStr">
        <is>
          <t>Analysis Result</t>
        </is>
      </c>
      <c r="D949" t="inlineStr">
        <is>
          <t>Tables</t>
        </is>
      </c>
      <c r="E949" t="inlineStr">
        <is>
          <t>Result</t>
        </is>
      </c>
      <c r="F949" t="inlineStr">
        <is>
          <t>Initial Element Force</t>
        </is>
      </c>
      <c r="T949" t="inlineStr">
        <is>
          <t>none</t>
        </is>
      </c>
      <c r="Z949">
        <f>IF(OR(K539="",K539="TABLE"),"",
_xlfn.TEXTJOIN(", ",TRUE,
IF(E539&lt;&gt;"",E539&amp;K539,""),
IF(F539&lt;&gt;"",F539&amp;K539,""),
IF(G539&lt;&gt;"",G539&amp;K539,"")
))</f>
        <v/>
      </c>
      <c r="AA949">
        <f>IF(K539="","",IF(K539="TABLE","",K539))</f>
        <v/>
      </c>
      <c r="AB949">
        <f>IF(ISNUMBER(SEARCH("기존변경필요",SUBSTITUTE(TRIM(V539),CHAR(10)," "))),"",
IFERROR(
  _xlfn.XLOOKUP(AA539,'기존 end point'!B:B,'기존 end point'!B:B,,0),
""))</f>
        <v/>
      </c>
    </row>
    <row r="950">
      <c r="A950" t="n">
        <v>538</v>
      </c>
      <c r="B950" t="inlineStr">
        <is>
          <t>civil-nx/gen-nx</t>
        </is>
      </c>
      <c r="C950" t="inlineStr">
        <is>
          <t>Analysis Result</t>
        </is>
      </c>
      <c r="D950" t="inlineStr">
        <is>
          <t>Tables</t>
        </is>
      </c>
      <c r="E950" t="inlineStr">
        <is>
          <t>Result</t>
        </is>
      </c>
      <c r="F950" t="inlineStr">
        <is>
          <t>Imperfection</t>
        </is>
      </c>
      <c r="T950" t="inlineStr">
        <is>
          <t>none</t>
        </is>
      </c>
      <c r="Z950">
        <f>IF(OR(K540="",K540="TABLE"),"",
_xlfn.TEXTJOIN(", ",TRUE,
IF(E540&lt;&gt;"",E540&amp;K540,""),
IF(F540&lt;&gt;"",F540&amp;K540,""),
IF(G540&lt;&gt;"",G540&amp;K540,"")
))</f>
        <v/>
      </c>
      <c r="AA950">
        <f>IF(K540="","",IF(K540="TABLE","",K540))</f>
        <v/>
      </c>
      <c r="AB950">
        <f>IF(ISNUMBER(SEARCH("기존변경필요",SUBSTITUTE(TRIM(V540),CHAR(10)," "))),"",
IFERROR(
  _xlfn.XLOOKUP(AA540,'기존 end point'!B:B,'기존 end point'!B:B,,0),
""))</f>
        <v/>
      </c>
    </row>
    <row r="951">
      <c r="A951" t="n">
        <v>539</v>
      </c>
      <c r="B951" t="inlineStr">
        <is>
          <t>gen-nx</t>
        </is>
      </c>
      <c r="C951" t="inlineStr">
        <is>
          <t>Analysis Result</t>
        </is>
      </c>
      <c r="D951" t="inlineStr">
        <is>
          <t>Tables</t>
        </is>
      </c>
      <c r="E951" t="inlineStr">
        <is>
          <t>Story</t>
        </is>
      </c>
      <c r="F951" t="inlineStr">
        <is>
          <t>Story Drift</t>
        </is>
      </c>
      <c r="T951" t="inlineStr">
        <is>
          <t>none</t>
        </is>
      </c>
      <c r="Z951">
        <f>IF(OR(K541="",K541="TABLE"),"",
_xlfn.TEXTJOIN(", ",TRUE,
IF(E541&lt;&gt;"",E541&amp;K541,""),
IF(F541&lt;&gt;"",F541&amp;K541,""),
IF(G541&lt;&gt;"",G541&amp;K541,"")
))</f>
        <v/>
      </c>
      <c r="AA951">
        <f>IF(K541="","",IF(K541="TABLE","",K541))</f>
        <v/>
      </c>
      <c r="AB951">
        <f>IF(ISNUMBER(SEARCH("기존변경필요",SUBSTITUTE(TRIM(V541),CHAR(10)," "))),"",
IFERROR(
  _xlfn.XLOOKUP(AA541,'기존 end point'!B:B,'기존 end point'!B:B,,0),
""))</f>
        <v/>
      </c>
    </row>
    <row r="952">
      <c r="A952" t="n">
        <v>540</v>
      </c>
      <c r="B952" t="inlineStr">
        <is>
          <t>gen-nx</t>
        </is>
      </c>
      <c r="C952" t="inlineStr">
        <is>
          <t>Analysis Result</t>
        </is>
      </c>
      <c r="D952" t="inlineStr">
        <is>
          <t>Tables</t>
        </is>
      </c>
      <c r="E952" t="inlineStr">
        <is>
          <t>Story</t>
        </is>
      </c>
      <c r="F952" t="inlineStr">
        <is>
          <t>Story Displacement</t>
        </is>
      </c>
      <c r="T952" t="inlineStr">
        <is>
          <t>none</t>
        </is>
      </c>
      <c r="Z952">
        <f>IF(OR(K542="",K542="TABLE"),"",
_xlfn.TEXTJOIN(", ",TRUE,
IF(E542&lt;&gt;"",E542&amp;K542,""),
IF(F542&lt;&gt;"",F542&amp;K542,""),
IF(G542&lt;&gt;"",G542&amp;K542,"")
))</f>
        <v/>
      </c>
      <c r="AA952">
        <f>IF(K542="","",IF(K542="TABLE","",K542))</f>
        <v/>
      </c>
      <c r="AB952">
        <f>IF(ISNUMBER(SEARCH("기존변경필요",SUBSTITUTE(TRIM(V542),CHAR(10)," "))),"",
IFERROR(
  _xlfn.XLOOKUP(AA542,'기존 end point'!B:B,'기존 end point'!B:B,,0),
""))</f>
        <v/>
      </c>
    </row>
    <row r="953">
      <c r="A953" t="n">
        <v>541</v>
      </c>
      <c r="B953" t="inlineStr">
        <is>
          <t>gen-nx</t>
        </is>
      </c>
      <c r="C953" t="inlineStr">
        <is>
          <t>Analysis Result</t>
        </is>
      </c>
      <c r="D953" t="inlineStr">
        <is>
          <t>Tables</t>
        </is>
      </c>
      <c r="E953" t="inlineStr">
        <is>
          <t>Story</t>
        </is>
      </c>
      <c r="F953" t="inlineStr">
        <is>
          <t>Story Shear (Response Spectrum Analysis)</t>
        </is>
      </c>
      <c r="T953" t="inlineStr">
        <is>
          <t>none</t>
        </is>
      </c>
      <c r="Z953">
        <f>IF(OR(K543="",K543="TABLE"),"",
_xlfn.TEXTJOIN(", ",TRUE,
IF(E543&lt;&gt;"",E543&amp;K543,""),
IF(F543&lt;&gt;"",F543&amp;K543,""),
IF(G543&lt;&gt;"",G543&amp;K543,"")
))</f>
        <v/>
      </c>
      <c r="AA953">
        <f>IF(K543="","",IF(K543="TABLE","",K543))</f>
        <v/>
      </c>
      <c r="AB953">
        <f>IF(ISNUMBER(SEARCH("기존변경필요",SUBSTITUTE(TRIM(V543),CHAR(10)," "))),"",
IFERROR(
  _xlfn.XLOOKUP(AA543,'기존 end point'!B:B,'기존 end point'!B:B,,0),
""))</f>
        <v/>
      </c>
    </row>
    <row r="954">
      <c r="A954" t="n">
        <v>542</v>
      </c>
      <c r="B954" t="inlineStr">
        <is>
          <t>gen-nx</t>
        </is>
      </c>
      <c r="C954" t="inlineStr">
        <is>
          <t>Analysis Result</t>
        </is>
      </c>
      <c r="D954" t="inlineStr">
        <is>
          <t>Tables</t>
        </is>
      </c>
      <c r="E954" t="inlineStr">
        <is>
          <t>Story</t>
        </is>
      </c>
      <c r="F954" t="inlineStr">
        <is>
          <t>Story Mode Shape</t>
        </is>
      </c>
      <c r="T954" t="inlineStr">
        <is>
          <t>none</t>
        </is>
      </c>
      <c r="Z954">
        <f>IF(OR(K544="",K544="TABLE"),"",
_xlfn.TEXTJOIN(", ",TRUE,
IF(E544&lt;&gt;"",E544&amp;K544,""),
IF(F544&lt;&gt;"",F544&amp;K544,""),
IF(G544&lt;&gt;"",G544&amp;K544,"")
))</f>
        <v/>
      </c>
      <c r="AA954">
        <f>IF(K544="","",IF(K544="TABLE","",K544))</f>
        <v/>
      </c>
      <c r="AB954">
        <f>IF(ISNUMBER(SEARCH("기존변경필요",SUBSTITUTE(TRIM(V544),CHAR(10)," "))),"",
IFERROR(
  _xlfn.XLOOKUP(AA544,'기존 end point'!B:B,'기존 end point'!B:B,,0),
""))</f>
        <v/>
      </c>
    </row>
    <row r="955">
      <c r="A955" t="n">
        <v>543</v>
      </c>
      <c r="B955" t="inlineStr">
        <is>
          <t>gen-nx</t>
        </is>
      </c>
      <c r="C955" t="inlineStr">
        <is>
          <t>Analysis Result</t>
        </is>
      </c>
      <c r="D955" t="inlineStr">
        <is>
          <t>Tables</t>
        </is>
      </c>
      <c r="E955" t="inlineStr">
        <is>
          <t>Story</t>
        </is>
      </c>
      <c r="F955" t="inlineStr">
        <is>
          <t>Story Eccentricity</t>
        </is>
      </c>
      <c r="T955" t="inlineStr">
        <is>
          <t>none</t>
        </is>
      </c>
      <c r="Z955">
        <f>IF(OR(K545="",K545="TABLE"),"",
_xlfn.TEXTJOIN(", ",TRUE,
IF(E545&lt;&gt;"",E545&amp;K545,""),
IF(F545&lt;&gt;"",F545&amp;K545,""),
IF(G545&lt;&gt;"",G545&amp;K545,"")
))</f>
        <v/>
      </c>
      <c r="AA955">
        <f>IF(K545="","",IF(K545="TABLE","",K545))</f>
        <v/>
      </c>
      <c r="AB955">
        <f>IF(ISNUMBER(SEARCH("기존변경필요",SUBSTITUTE(TRIM(V545),CHAR(10)," "))),"",
IFERROR(
  _xlfn.XLOOKUP(AA545,'기존 end point'!B:B,'기존 end point'!B:B,,0),
""))</f>
        <v/>
      </c>
    </row>
    <row r="956">
      <c r="A956" t="n">
        <v>544</v>
      </c>
      <c r="B956" t="inlineStr">
        <is>
          <t>gen-nx</t>
        </is>
      </c>
      <c r="C956" t="inlineStr">
        <is>
          <t>Analysis Result</t>
        </is>
      </c>
      <c r="D956" t="inlineStr">
        <is>
          <t>Tables</t>
        </is>
      </c>
      <c r="E956" t="inlineStr">
        <is>
          <t>Story</t>
        </is>
      </c>
      <c r="F956" t="inlineStr">
        <is>
          <t>Story Shear Force Ratio</t>
        </is>
      </c>
      <c r="T956" t="inlineStr">
        <is>
          <t>none</t>
        </is>
      </c>
      <c r="Z956">
        <f>IF(OR(K546="",K546="TABLE"),"",
_xlfn.TEXTJOIN(", ",TRUE,
IF(E546&lt;&gt;"",E546&amp;K546,""),
IF(F546&lt;&gt;"",F546&amp;K546,""),
IF(G546&lt;&gt;"",G546&amp;K546,"")
))</f>
        <v/>
      </c>
      <c r="AA956">
        <f>IF(K546="","",IF(K546="TABLE","",K546))</f>
        <v/>
      </c>
      <c r="AB956">
        <f>IF(ISNUMBER(SEARCH("기존변경필요",SUBSTITUTE(TRIM(V546),CHAR(10)," "))),"",
IFERROR(
  _xlfn.XLOOKUP(AA546,'기존 end point'!B:B,'기존 end point'!B:B,,0),
""))</f>
        <v/>
      </c>
    </row>
    <row r="957">
      <c r="A957" t="n">
        <v>545</v>
      </c>
      <c r="B957" t="inlineStr">
        <is>
          <t>gen-nx</t>
        </is>
      </c>
      <c r="C957" t="inlineStr">
        <is>
          <t>Analysis Result</t>
        </is>
      </c>
      <c r="D957" t="inlineStr">
        <is>
          <t>Tables</t>
        </is>
      </c>
      <c r="E957" t="inlineStr">
        <is>
          <t>Story</t>
        </is>
      </c>
      <c r="F957" t="inlineStr">
        <is>
          <t>Torsional Amplification Factor</t>
        </is>
      </c>
      <c r="T957" t="inlineStr">
        <is>
          <t>none</t>
        </is>
      </c>
      <c r="Z957">
        <f>IF(OR(K547="",K547="TABLE"),"",
_xlfn.TEXTJOIN(", ",TRUE,
IF(E547&lt;&gt;"",E547&amp;K547,""),
IF(F547&lt;&gt;"",F547&amp;K547,""),
IF(G547&lt;&gt;"",G547&amp;K547,"")
))</f>
        <v/>
      </c>
      <c r="AA957">
        <f>IF(K547="","",IF(K547="TABLE","",K547))</f>
        <v/>
      </c>
      <c r="AB957">
        <f>IF(ISNUMBER(SEARCH("기존변경필요",SUBSTITUTE(TRIM(V547),CHAR(10)," "))),"",
IFERROR(
  _xlfn.XLOOKUP(AA547,'기존 end point'!B:B,'기존 end point'!B:B,,0),
""))</f>
        <v/>
      </c>
    </row>
    <row r="958">
      <c r="A958" t="n">
        <v>546</v>
      </c>
      <c r="B958" t="inlineStr">
        <is>
          <t>gen-nx</t>
        </is>
      </c>
      <c r="C958" t="inlineStr">
        <is>
          <t>Analysis Result</t>
        </is>
      </c>
      <c r="D958" t="inlineStr">
        <is>
          <t>Tables</t>
        </is>
      </c>
      <c r="E958" t="inlineStr">
        <is>
          <t>Story</t>
        </is>
      </c>
      <c r="F958" t="inlineStr">
        <is>
          <t>Stability Coefficient</t>
        </is>
      </c>
      <c r="T958" t="inlineStr">
        <is>
          <t>none</t>
        </is>
      </c>
      <c r="Z958">
        <f>IF(OR(K548="",K548="TABLE"),"",
_xlfn.TEXTJOIN(", ",TRUE,
IF(E548&lt;&gt;"",E548&amp;K548,""),
IF(F548&lt;&gt;"",F548&amp;K548,""),
IF(G548&lt;&gt;"",G548&amp;K548,"")
))</f>
        <v/>
      </c>
      <c r="AA958">
        <f>IF(K548="","",IF(K548="TABLE","",K548))</f>
        <v/>
      </c>
      <c r="AB958">
        <f>IF(ISNUMBER(SEARCH("기존변경필요",SUBSTITUTE(TRIM(V548),CHAR(10)," "))),"",
IFERROR(
  _xlfn.XLOOKUP(AA548,'기존 end point'!B:B,'기존 end point'!B:B,,0),
""))</f>
        <v/>
      </c>
    </row>
    <row r="959">
      <c r="A959" t="n">
        <v>547</v>
      </c>
      <c r="B959" t="inlineStr">
        <is>
          <t>gen-nx</t>
        </is>
      </c>
      <c r="C959" t="inlineStr">
        <is>
          <t>Analysis Result</t>
        </is>
      </c>
      <c r="D959" t="inlineStr">
        <is>
          <t>Tables</t>
        </is>
      </c>
      <c r="E959" t="inlineStr">
        <is>
          <t>Story</t>
        </is>
      </c>
      <c r="F959" t="inlineStr">
        <is>
          <t>Weight Irregularity Check</t>
        </is>
      </c>
      <c r="T959" t="inlineStr">
        <is>
          <t>none</t>
        </is>
      </c>
      <c r="Z959">
        <f>IF(OR(K549="",K549="TABLE"),"",
_xlfn.TEXTJOIN(", ",TRUE,
IF(E549&lt;&gt;"",E549&amp;K549,""),
IF(F549&lt;&gt;"",F549&amp;K549,""),
IF(G549&lt;&gt;"",G549&amp;K549,"")
))</f>
        <v/>
      </c>
      <c r="AA959">
        <f>IF(K549="","",IF(K549="TABLE","",K549))</f>
        <v/>
      </c>
      <c r="AB959">
        <f>IF(ISNUMBER(SEARCH("기존변경필요",SUBSTITUTE(TRIM(V549),CHAR(10)," "))),"",
IFERROR(
  _xlfn.XLOOKUP(AA549,'기존 end point'!B:B,'기존 end point'!B:B,,0),
""))</f>
        <v/>
      </c>
    </row>
    <row r="960">
      <c r="A960" t="n">
        <v>548</v>
      </c>
      <c r="B960" t="inlineStr">
        <is>
          <t>gen-nx</t>
        </is>
      </c>
      <c r="C960" t="inlineStr">
        <is>
          <t>Analysis Result</t>
        </is>
      </c>
      <c r="D960" t="inlineStr">
        <is>
          <t>Tables</t>
        </is>
      </c>
      <c r="E960" t="inlineStr">
        <is>
          <t>Story</t>
        </is>
      </c>
      <c r="F960" t="inlineStr">
        <is>
          <t>Overturning Moment</t>
        </is>
      </c>
      <c r="T960" t="inlineStr">
        <is>
          <t>none</t>
        </is>
      </c>
      <c r="Z960">
        <f>IF(OR(K550="",K550="TABLE"),"",
_xlfn.TEXTJOIN(", ",TRUE,
IF(E550&lt;&gt;"",E550&amp;K550,""),
IF(F550&lt;&gt;"",F550&amp;K550,""),
IF(G550&lt;&gt;"",G550&amp;K550,"")
))</f>
        <v/>
      </c>
      <c r="AA960">
        <f>IF(K550="","",IF(K550="TABLE","",K550))</f>
        <v/>
      </c>
      <c r="AB960">
        <f>IF(ISNUMBER(SEARCH("기존변경필요",SUBSTITUTE(TRIM(V550),CHAR(10)," "))),"",
IFERROR(
  _xlfn.XLOOKUP(AA550,'기존 end point'!B:B,'기존 end point'!B:B,,0),
""))</f>
        <v/>
      </c>
    </row>
    <row r="961">
      <c r="A961" t="n">
        <v>549</v>
      </c>
      <c r="B961" t="inlineStr">
        <is>
          <t>gen-nx</t>
        </is>
      </c>
      <c r="C961" t="inlineStr">
        <is>
          <t>Analysis Result</t>
        </is>
      </c>
      <c r="D961" t="inlineStr">
        <is>
          <t>Tables</t>
        </is>
      </c>
      <c r="E961" t="inlineStr">
        <is>
          <t>Story</t>
        </is>
      </c>
      <c r="F961" t="inlineStr">
        <is>
          <t>Sotry Axial Force Sum</t>
        </is>
      </c>
      <c r="T961" t="inlineStr">
        <is>
          <t>none</t>
        </is>
      </c>
      <c r="Z961">
        <f>IF(OR(K551="",K551="TABLE"),"",
_xlfn.TEXTJOIN(", ",TRUE,
IF(E551&lt;&gt;"",E551&amp;K551,""),
IF(F551&lt;&gt;"",F551&amp;K551,""),
IF(G551&lt;&gt;"",G551&amp;K551,"")
))</f>
        <v/>
      </c>
      <c r="AA961">
        <f>IF(K551="","",IF(K551="TABLE","",K551))</f>
        <v/>
      </c>
      <c r="AB961">
        <f>IF(ISNUMBER(SEARCH("기존변경필요",SUBSTITUTE(TRIM(V551),CHAR(10)," "))),"",
IFERROR(
  _xlfn.XLOOKUP(AA551,'기존 end point'!B:B,'기존 end point'!B:B,,0),
""))</f>
        <v/>
      </c>
    </row>
    <row r="962">
      <c r="A962" t="n">
        <v>550</v>
      </c>
      <c r="B962" t="inlineStr">
        <is>
          <t>gen-nx</t>
        </is>
      </c>
      <c r="C962" t="inlineStr">
        <is>
          <t>Analysis Result</t>
        </is>
      </c>
      <c r="D962" t="inlineStr">
        <is>
          <t>Tables</t>
        </is>
      </c>
      <c r="E962" t="inlineStr">
        <is>
          <t>Story</t>
        </is>
      </c>
      <c r="F962" t="inlineStr">
        <is>
          <t>Torsional irregulatiry Check</t>
        </is>
      </c>
      <c r="T962" t="inlineStr">
        <is>
          <t>none</t>
        </is>
      </c>
      <c r="Z962">
        <f>IF(OR(K552="",K552="TABLE"),"",
_xlfn.TEXTJOIN(", ",TRUE,
IF(E552&lt;&gt;"",E552&amp;K552,""),
IF(F552&lt;&gt;"",F552&amp;K552,""),
IF(G552&lt;&gt;"",G552&amp;K552,"")
))</f>
        <v/>
      </c>
      <c r="AA962">
        <f>IF(K552="","",IF(K552="TABLE","",K552))</f>
        <v/>
      </c>
      <c r="AB962">
        <f>IF(ISNUMBER(SEARCH("기존변경필요",SUBSTITUTE(TRIM(V552),CHAR(10)," "))),"",
IFERROR(
  _xlfn.XLOOKUP(AA552,'기존 end point'!B:B,'기존 end point'!B:B,,0),
""))</f>
        <v/>
      </c>
    </row>
    <row r="963">
      <c r="A963" t="n">
        <v>551</v>
      </c>
      <c r="B963" t="inlineStr">
        <is>
          <t>gen-nx</t>
        </is>
      </c>
      <c r="C963" t="inlineStr">
        <is>
          <t>Analysis Result</t>
        </is>
      </c>
      <c r="D963" t="inlineStr">
        <is>
          <t>Tables</t>
        </is>
      </c>
      <c r="E963" t="inlineStr">
        <is>
          <t>Story</t>
        </is>
      </c>
      <c r="F963" t="inlineStr">
        <is>
          <t>Stiffness Irregularity Check(Soft Story)</t>
        </is>
      </c>
      <c r="T963" t="inlineStr">
        <is>
          <t>none</t>
        </is>
      </c>
      <c r="Z963">
        <f>IF(OR(K553="",K553="TABLE"),"",
_xlfn.TEXTJOIN(", ",TRUE,
IF(E553&lt;&gt;"",E553&amp;K553,""),
IF(F553&lt;&gt;"",F553&amp;K553,""),
IF(G553&lt;&gt;"",G553&amp;K553,"")
))</f>
        <v/>
      </c>
      <c r="AA963">
        <f>IF(K553="","",IF(K553="TABLE","",K553))</f>
        <v/>
      </c>
      <c r="AB963">
        <f>IF(ISNUMBER(SEARCH("기존변경필요",SUBSTITUTE(TRIM(V553),CHAR(10)," "))),"",
IFERROR(
  _xlfn.XLOOKUP(AA553,'기존 end point'!B:B,'기존 end point'!B:B,,0),
""))</f>
        <v/>
      </c>
    </row>
    <row r="964">
      <c r="A964" t="n">
        <v>552</v>
      </c>
      <c r="B964" t="inlineStr">
        <is>
          <t>gen-nx</t>
        </is>
      </c>
      <c r="C964" t="inlineStr">
        <is>
          <t>Analysis Result</t>
        </is>
      </c>
      <c r="D964" t="inlineStr">
        <is>
          <t>Tables</t>
        </is>
      </c>
      <c r="E964" t="inlineStr">
        <is>
          <t>Story</t>
        </is>
      </c>
      <c r="F964" t="inlineStr">
        <is>
          <t>Capacity Irregularity Check(Weak Story)</t>
        </is>
      </c>
      <c r="T964" t="inlineStr">
        <is>
          <t>none</t>
        </is>
      </c>
      <c r="Z964">
        <f>IF(OR(K554="",K554="TABLE"),"",
_xlfn.TEXTJOIN(", ",TRUE,
IF(E554&lt;&gt;"",E554&amp;K554,""),
IF(F554&lt;&gt;"",F554&amp;K554,""),
IF(G554&lt;&gt;"",G554&amp;K554,"")
))</f>
        <v/>
      </c>
      <c r="AA964">
        <f>IF(K554="","",IF(K554="TABLE","",K554))</f>
        <v/>
      </c>
      <c r="AB964">
        <f>IF(ISNUMBER(SEARCH("기존변경필요",SUBSTITUTE(TRIM(V554),CHAR(10)," "))),"",
IFERROR(
  _xlfn.XLOOKUP(AA554,'기존 end point'!B:B,'기존 end point'!B:B,,0),
""))</f>
        <v/>
      </c>
    </row>
    <row r="965">
      <c r="A965" t="n">
        <v>553</v>
      </c>
      <c r="B965" t="inlineStr">
        <is>
          <t>civil-nx/gen-nx</t>
        </is>
      </c>
      <c r="C965" t="inlineStr">
        <is>
          <t>Time History Analysis</t>
        </is>
      </c>
      <c r="D965" t="inlineStr">
        <is>
          <t>Time History Analysis</t>
        </is>
      </c>
      <c r="E965" t="inlineStr">
        <is>
          <t>Displ/Vel/Accel</t>
        </is>
      </c>
      <c r="T965" t="inlineStr">
        <is>
          <t>none</t>
        </is>
      </c>
      <c r="Z965">
        <f>IF(OR(K555="",K555="TABLE"),"",
_xlfn.TEXTJOIN(", ",TRUE,
IF(E555&lt;&gt;"",E555&amp;K555,""),
IF(F555&lt;&gt;"",F555&amp;K555,""),
IF(G555&lt;&gt;"",G555&amp;K555,"")
))</f>
        <v/>
      </c>
      <c r="AA965">
        <f>IF(K555="","",IF(K555="TABLE","",K555))</f>
        <v/>
      </c>
      <c r="AB965">
        <f>IF(ISNUMBER(SEARCH("기존변경필요",SUBSTITUTE(TRIM(V555),CHAR(10)," "))),"",
IFERROR(
  _xlfn.XLOOKUP(AA555,'기존 end point'!B:B,'기존 end point'!B:B,,0),
""))</f>
        <v/>
      </c>
    </row>
    <row r="966">
      <c r="A966" t="n">
        <v>554</v>
      </c>
      <c r="B966" t="inlineStr">
        <is>
          <t>civil-nx/gen-nx</t>
        </is>
      </c>
      <c r="C966" t="inlineStr">
        <is>
          <t>Time History Analysis</t>
        </is>
      </c>
      <c r="D966" t="inlineStr">
        <is>
          <t>Time History Analysis</t>
        </is>
      </c>
      <c r="E966" t="inlineStr">
        <is>
          <t>Force(Beam/Wall/Truss/General Link)</t>
        </is>
      </c>
      <c r="T966" t="inlineStr">
        <is>
          <t>none</t>
        </is>
      </c>
      <c r="Z966">
        <f>IF(OR(K556="",K556="TABLE"),"",
_xlfn.TEXTJOIN(", ",TRUE,
IF(E556&lt;&gt;"",E556&amp;K556,""),
IF(F556&lt;&gt;"",F556&amp;K556,""),
IF(G556&lt;&gt;"",G556&amp;K556,"")
))</f>
        <v/>
      </c>
      <c r="AA966">
        <f>IF(K556="","",IF(K556="TABLE","",K556))</f>
        <v/>
      </c>
      <c r="AB966">
        <f>IF(ISNUMBER(SEARCH("기존변경필요",SUBSTITUTE(TRIM(V556),CHAR(10)," "))),"",
IFERROR(
  _xlfn.XLOOKUP(AA556,'기존 end point'!B:B,'기존 end point'!B:B,,0),
""))</f>
        <v/>
      </c>
    </row>
    <row r="967">
      <c r="A967" t="n">
        <v>555</v>
      </c>
      <c r="B967" t="inlineStr">
        <is>
          <t>civil-nx/gen-nx</t>
        </is>
      </c>
      <c r="C967" t="inlineStr">
        <is>
          <t>Time History Analysis</t>
        </is>
      </c>
      <c r="D967" t="inlineStr">
        <is>
          <t>Time History Analysis</t>
        </is>
      </c>
      <c r="E967" t="inlineStr">
        <is>
          <t>Force Diagram(Beam/Wall/Truss/General Link)</t>
        </is>
      </c>
      <c r="T967" t="inlineStr">
        <is>
          <t>none</t>
        </is>
      </c>
      <c r="Z967">
        <f>IF(OR(K557="",K557="TABLE"),"",
_xlfn.TEXTJOIN(", ",TRUE,
IF(E557&lt;&gt;"",E557&amp;K557,""),
IF(F557&lt;&gt;"",F557&amp;K557,""),
IF(G557&lt;&gt;"",G557&amp;K557,"")
))</f>
        <v/>
      </c>
      <c r="AA967">
        <f>IF(K557="","",IF(K557="TABLE","",K557))</f>
        <v/>
      </c>
      <c r="AB967">
        <f>IF(ISNUMBER(SEARCH("기존변경필요",SUBSTITUTE(TRIM(V557),CHAR(10)," "))),"",
IFERROR(
  _xlfn.XLOOKUP(AA557,'기존 end point'!B:B,'기존 end point'!B:B,,0),
""))</f>
        <v/>
      </c>
    </row>
    <row r="968">
      <c r="A968" t="n">
        <v>556</v>
      </c>
      <c r="B968" t="inlineStr">
        <is>
          <t>civil-nx/gen-nx</t>
        </is>
      </c>
      <c r="C968" t="inlineStr">
        <is>
          <t>Time History Analysis</t>
        </is>
      </c>
      <c r="D968" t="inlineStr">
        <is>
          <t>Time History Analysis</t>
        </is>
      </c>
      <c r="E968" t="inlineStr">
        <is>
          <t>Stress(Beam/Truss)</t>
        </is>
      </c>
      <c r="T968" t="inlineStr">
        <is>
          <t>none</t>
        </is>
      </c>
      <c r="Z968">
        <f>IF(OR(K558="",K558="TABLE"),"",
_xlfn.TEXTJOIN(", ",TRUE,
IF(E558&lt;&gt;"",E558&amp;K558,""),
IF(F558&lt;&gt;"",F558&amp;K558,""),
IF(G558&lt;&gt;"",G558&amp;K558,"")
))</f>
        <v/>
      </c>
      <c r="AA968">
        <f>IF(K558="","",IF(K558="TABLE","",K558))</f>
        <v/>
      </c>
      <c r="AB968">
        <f>IF(ISNUMBER(SEARCH("기존변경필요",SUBSTITUTE(TRIM(V558),CHAR(10)," "))),"",
IFERROR(
  _xlfn.XLOOKUP(AA558,'기존 end point'!B:B,'기존 end point'!B:B,,0),
""))</f>
        <v/>
      </c>
    </row>
    <row r="969">
      <c r="A969" t="n">
        <v>557</v>
      </c>
      <c r="B969" t="inlineStr">
        <is>
          <t>civil-nx/gen-nx</t>
        </is>
      </c>
      <c r="C969" t="inlineStr">
        <is>
          <t>Time History Analysis</t>
        </is>
      </c>
      <c r="D969" t="inlineStr">
        <is>
          <t>Time History Analysis</t>
        </is>
      </c>
      <c r="E969" t="inlineStr">
        <is>
          <t>Inelastic Hinge Status</t>
        </is>
      </c>
      <c r="T969" t="inlineStr">
        <is>
          <t>none</t>
        </is>
      </c>
      <c r="Z969">
        <f>IF(OR(K559="",K559="TABLE"),"",
_xlfn.TEXTJOIN(", ",TRUE,
IF(E559&lt;&gt;"",E559&amp;K559,""),
IF(F559&lt;&gt;"",F559&amp;K559,""),
IF(G559&lt;&gt;"",G559&amp;K559,"")
))</f>
        <v/>
      </c>
      <c r="AA969">
        <f>IF(K559="","",IF(K559="TABLE","",K559))</f>
        <v/>
      </c>
      <c r="AB969">
        <f>IF(ISNUMBER(SEARCH("기존변경필요",SUBSTITUTE(TRIM(V559),CHAR(10)," "))),"",
IFERROR(
  _xlfn.XLOOKUP(AA559,'기존 end point'!B:B,'기존 end point'!B:B,,0),
""))</f>
        <v/>
      </c>
    </row>
    <row r="970">
      <c r="A970" t="n">
        <v>558</v>
      </c>
      <c r="B970" t="inlineStr">
        <is>
          <t>civil-nx/gen-nx</t>
        </is>
      </c>
      <c r="C970" t="inlineStr">
        <is>
          <t>Time History Analysis</t>
        </is>
      </c>
      <c r="D970" t="inlineStr">
        <is>
          <t>Time History Analysis</t>
        </is>
      </c>
      <c r="E970" t="inlineStr">
        <is>
          <t>T.H Graph</t>
        </is>
      </c>
      <c r="F970" t="inlineStr">
        <is>
          <t>Time History Graph</t>
        </is>
      </c>
      <c r="T970" t="inlineStr">
        <is>
          <t>none</t>
        </is>
      </c>
      <c r="Z970">
        <f>IF(OR(K560="",K560="TABLE"),"",
_xlfn.TEXTJOIN(", ",TRUE,
IF(E560&lt;&gt;"",E560&amp;K560,""),
IF(F560&lt;&gt;"",F560&amp;K560,""),
IF(G560&lt;&gt;"",G560&amp;K560,"")
))</f>
        <v/>
      </c>
      <c r="AA970">
        <f>IF(K560="","",IF(K560="TABLE","",K560))</f>
        <v/>
      </c>
      <c r="AB970">
        <f>IF(ISNUMBER(SEARCH("기존변경필요",SUBSTITUTE(TRIM(V560),CHAR(10)," "))),"",
IFERROR(
  _xlfn.XLOOKUP(AA560,'기존 end point'!B:B,'기존 end point'!B:B,,0),
""))</f>
        <v/>
      </c>
    </row>
    <row r="971">
      <c r="A971" t="n">
        <v>559</v>
      </c>
      <c r="B971" t="inlineStr">
        <is>
          <t>civil-nx/gen-nx</t>
        </is>
      </c>
      <c r="C971" t="inlineStr">
        <is>
          <t>Time History Analysis</t>
        </is>
      </c>
      <c r="D971" t="inlineStr">
        <is>
          <t>Time History Analysis</t>
        </is>
      </c>
      <c r="E971" t="inlineStr">
        <is>
          <t>T.H Graph</t>
        </is>
      </c>
      <c r="F971" t="inlineStr">
        <is>
          <t>Element Force Graph</t>
        </is>
      </c>
      <c r="H971" t="inlineStr">
        <is>
          <t>db</t>
        </is>
      </c>
      <c r="I971" t="inlineStr">
        <is>
          <t>thre</t>
        </is>
      </c>
      <c r="K971">
        <f>_xlfn.TEXTAFTER(L561,"/",-1)</f>
        <v/>
      </c>
      <c r="L971" t="inlineStr">
        <is>
          <t>/db/thre</t>
        </is>
      </c>
      <c r="M971" t="inlineStr">
        <is>
          <t>Time History Graph - Element Force Smart Graph</t>
        </is>
      </c>
      <c r="N971" t="inlineStr">
        <is>
          <t>done</t>
        </is>
      </c>
      <c r="O971" t="inlineStr">
        <is>
          <t>done</t>
        </is>
      </c>
      <c r="P971" t="inlineStr">
        <is>
          <t>done</t>
        </is>
      </c>
      <c r="Q971" t="inlineStr">
        <is>
          <t>done</t>
        </is>
      </c>
      <c r="R971" t="inlineStr">
        <is>
          <t>done</t>
        </is>
      </c>
      <c r="S971" t="inlineStr">
        <is>
          <t>done</t>
        </is>
      </c>
      <c r="T971" t="inlineStr">
        <is>
          <t>Done</t>
        </is>
      </c>
      <c r="Z971">
        <f>IF(OR(K561="",K561="TABLE"),"",
_xlfn.TEXTJOIN(", ",TRUE,
IF(E561&lt;&gt;"",E561&amp;K561,""),
IF(F561&lt;&gt;"",F561&amp;K561,""),
IF(G561&lt;&gt;"",G561&amp;K561,"")
))</f>
        <v/>
      </c>
      <c r="AA971">
        <f>IF(K561="","",IF(K561="TABLE","",K561))</f>
        <v/>
      </c>
      <c r="AB971">
        <f>IF(ISNUMBER(SEARCH("기존변경필요",SUBSTITUTE(TRIM(V561),CHAR(10)," "))),"",
IFERROR(
  _xlfn.XLOOKUP(AA561,'기존 end point'!B:B,'기존 end point'!B:B,,0),
""))</f>
        <v/>
      </c>
    </row>
    <row r="972">
      <c r="A972" t="n">
        <v>560</v>
      </c>
      <c r="B972" t="inlineStr">
        <is>
          <t>civil-nx/gen-nx</t>
        </is>
      </c>
      <c r="C972" t="inlineStr">
        <is>
          <t>Time History Analysis</t>
        </is>
      </c>
      <c r="D972" t="inlineStr">
        <is>
          <t>Time History Analysis</t>
        </is>
      </c>
      <c r="E972" t="inlineStr">
        <is>
          <t>T.H Graph</t>
        </is>
      </c>
      <c r="F972" t="inlineStr">
        <is>
          <t>General Link Graph</t>
        </is>
      </c>
      <c r="H972" t="inlineStr">
        <is>
          <t>db</t>
        </is>
      </c>
      <c r="I972" t="inlineStr">
        <is>
          <t>thrg</t>
        </is>
      </c>
      <c r="K972">
        <f>_xlfn.TEXTAFTER(L562,"/",-1)</f>
        <v/>
      </c>
      <c r="L972" t="inlineStr">
        <is>
          <t>/db/thrg</t>
        </is>
      </c>
      <c r="M972" t="inlineStr">
        <is>
          <t>Time History Graph - General Link Smart Graph</t>
        </is>
      </c>
      <c r="N972" t="inlineStr">
        <is>
          <t>done</t>
        </is>
      </c>
      <c r="O972" t="inlineStr">
        <is>
          <t>done</t>
        </is>
      </c>
      <c r="P972" t="inlineStr">
        <is>
          <t>done</t>
        </is>
      </c>
      <c r="Q972" t="inlineStr">
        <is>
          <t>done</t>
        </is>
      </c>
      <c r="R972" t="inlineStr">
        <is>
          <t>done</t>
        </is>
      </c>
      <c r="S972" t="inlineStr">
        <is>
          <t>done</t>
        </is>
      </c>
      <c r="T972" t="inlineStr">
        <is>
          <t>Done</t>
        </is>
      </c>
      <c r="Z972">
        <f>IF(OR(K562="",K562="TABLE"),"",
_xlfn.TEXTJOIN(", ",TRUE,
IF(E562&lt;&gt;"",E562&amp;K562,""),
IF(F562&lt;&gt;"",F562&amp;K562,""),
IF(G562&lt;&gt;"",G562&amp;K562,"")
))</f>
        <v/>
      </c>
      <c r="AA972">
        <f>IF(K562="","",IF(K562="TABLE","",K562))</f>
        <v/>
      </c>
      <c r="AB972">
        <f>IF(ISNUMBER(SEARCH("기존변경필요",SUBSTITUTE(TRIM(V562),CHAR(10)," "))),"",
IFERROR(
  _xlfn.XLOOKUP(AA562,'기존 end point'!B:B,'기존 end point'!B:B,,0),
""))</f>
        <v/>
      </c>
    </row>
    <row r="973">
      <c r="A973" t="n">
        <v>561</v>
      </c>
      <c r="B973" t="inlineStr">
        <is>
          <t>civil-nx/gen-nx</t>
        </is>
      </c>
      <c r="C973" t="inlineStr">
        <is>
          <t>Time History Analysis</t>
        </is>
      </c>
      <c r="D973" t="inlineStr">
        <is>
          <t>Time History Analysis</t>
        </is>
      </c>
      <c r="E973" t="inlineStr">
        <is>
          <t>T.H Graph</t>
        </is>
      </c>
      <c r="F973" t="inlineStr">
        <is>
          <t>Inelastic Hinge Graph</t>
        </is>
      </c>
      <c r="H973" t="inlineStr">
        <is>
          <t>db</t>
        </is>
      </c>
      <c r="I973" t="inlineStr">
        <is>
          <t>thri</t>
        </is>
      </c>
      <c r="K973">
        <f>_xlfn.TEXTAFTER(L563,"/",-1)</f>
        <v/>
      </c>
      <c r="L973" t="inlineStr">
        <is>
          <t>/db/thri</t>
        </is>
      </c>
      <c r="M973" t="inlineStr">
        <is>
          <t>Time History Graph - Inelastic Hinge Smart Graph</t>
        </is>
      </c>
      <c r="N973" t="inlineStr">
        <is>
          <t>done</t>
        </is>
      </c>
      <c r="O973" t="inlineStr">
        <is>
          <t>done</t>
        </is>
      </c>
      <c r="P973" t="inlineStr">
        <is>
          <t>done</t>
        </is>
      </c>
      <c r="Q973" t="inlineStr">
        <is>
          <t>done</t>
        </is>
      </c>
      <c r="R973" t="inlineStr">
        <is>
          <t>done</t>
        </is>
      </c>
      <c r="S973" t="inlineStr">
        <is>
          <t>done</t>
        </is>
      </c>
      <c r="T973" t="inlineStr">
        <is>
          <t>Done</t>
        </is>
      </c>
      <c r="Z973">
        <f>IF(OR(K563="",K563="TABLE"),"",
_xlfn.TEXTJOIN(", ",TRUE,
IF(E563&lt;&gt;"",E563&amp;K563,""),
IF(F563&lt;&gt;"",F563&amp;K563,""),
IF(G563&lt;&gt;"",G563&amp;K563,"")
))</f>
        <v/>
      </c>
      <c r="AA973">
        <f>IF(K563="","",IF(K563="TABLE","",K563))</f>
        <v/>
      </c>
      <c r="AB973">
        <f>IF(ISNUMBER(SEARCH("기존변경필요",SUBSTITUTE(TRIM(V563),CHAR(10)," "))),"",
IFERROR(
  _xlfn.XLOOKUP(AA563,'기존 end point'!B:B,'기존 end point'!B:B,,0),
""))</f>
        <v/>
      </c>
    </row>
    <row r="974">
      <c r="A974" t="n">
        <v>562</v>
      </c>
      <c r="B974" t="inlineStr">
        <is>
          <t>civil-nx/gen-nx</t>
        </is>
      </c>
      <c r="C974" t="inlineStr">
        <is>
          <t>Time History Analysis</t>
        </is>
      </c>
      <c r="D974" t="inlineStr">
        <is>
          <t>Time History Analysis</t>
        </is>
      </c>
      <c r="E974" t="inlineStr">
        <is>
          <t>T.H Graph</t>
        </is>
      </c>
      <c r="F974" t="inlineStr">
        <is>
          <t>Seismic Devices Graph</t>
        </is>
      </c>
      <c r="H974" t="inlineStr">
        <is>
          <t>db</t>
        </is>
      </c>
      <c r="I974" t="inlineStr">
        <is>
          <t>thrs</t>
        </is>
      </c>
      <c r="K974">
        <f>_xlfn.TEXTAFTER(L564,"/",-1)</f>
        <v/>
      </c>
      <c r="L974" t="inlineStr">
        <is>
          <t>/db/thrs</t>
        </is>
      </c>
      <c r="M974" t="inlineStr">
        <is>
          <t>Time History Graph - Seismic Devices Smart Graph</t>
        </is>
      </c>
      <c r="N974" t="inlineStr">
        <is>
          <t>done</t>
        </is>
      </c>
      <c r="O974" t="inlineStr">
        <is>
          <t>done</t>
        </is>
      </c>
      <c r="P974" t="inlineStr">
        <is>
          <t>done</t>
        </is>
      </c>
      <c r="Q974" t="inlineStr">
        <is>
          <t>done</t>
        </is>
      </c>
      <c r="R974" t="inlineStr">
        <is>
          <t>done</t>
        </is>
      </c>
      <c r="S974" t="inlineStr">
        <is>
          <t>done</t>
        </is>
      </c>
      <c r="T974" t="inlineStr">
        <is>
          <t>Done</t>
        </is>
      </c>
      <c r="Z974">
        <f>IF(OR(K564="",K564="TABLE"),"",
_xlfn.TEXTJOIN(", ",TRUE,
IF(E564&lt;&gt;"",E564&amp;K564,""),
IF(F564&lt;&gt;"",F564&amp;K564,""),
IF(G564&lt;&gt;"",G564&amp;K564,"")
))</f>
        <v/>
      </c>
      <c r="AA974">
        <f>IF(K564="","",IF(K564="TABLE","",K564))</f>
        <v/>
      </c>
      <c r="AB974">
        <f>IF(ISNUMBER(SEARCH("기존변경필요",SUBSTITUTE(TRIM(V564),CHAR(10)," "))),"",
IFERROR(
  _xlfn.XLOOKUP(AA564,'기존 end point'!B:B,'기존 end point'!B:B,,0),
""))</f>
        <v/>
      </c>
    </row>
    <row r="975">
      <c r="A975" s="26" t="n"/>
      <c r="B975" s="26" t="n"/>
      <c r="C975" s="26" t="inlineStr">
        <is>
          <t>DB_Heat of Hydration Results</t>
        </is>
      </c>
      <c r="D975" s="26" t="inlineStr">
        <is>
          <t>DB_Heat of Hydration Results</t>
        </is>
      </c>
      <c r="E975" s="26" t="inlineStr">
        <is>
          <t>Heat of Hydaration Result Graph</t>
        </is>
      </c>
      <c r="F975" s="26" t="n"/>
      <c r="G975" s="26" t="n"/>
      <c r="H975" s="26" t="inlineStr">
        <is>
          <t>DB</t>
        </is>
      </c>
      <c r="I975" s="26" t="inlineStr">
        <is>
          <t>HHND</t>
        </is>
      </c>
      <c r="J975" s="26" t="n"/>
      <c r="K975" s="26" t="n"/>
      <c r="L975" s="26" t="inlineStr">
        <is>
          <t>/DB/HHND</t>
        </is>
      </c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inlineStr">
        <is>
          <t>DELETE, GET, POST, PUT</t>
        </is>
      </c>
      <c r="W975" s="26" t="n"/>
      <c r="X975" s="26" t="n"/>
    </row>
    <row r="976">
      <c r="A976" s="26" t="n"/>
      <c r="B976" s="26" t="n"/>
      <c r="C976" s="26" t="inlineStr">
        <is>
          <t>DB_Pushover</t>
        </is>
      </c>
      <c r="D976" s="26" t="inlineStr">
        <is>
          <t>DB_Pushover</t>
        </is>
      </c>
      <c r="E976" s="26" t="inlineStr">
        <is>
          <t>Pushover Analysis Control Data</t>
        </is>
      </c>
      <c r="F976" s="26" t="n"/>
      <c r="G976" s="26" t="n"/>
      <c r="H976" s="26" t="inlineStr">
        <is>
          <t>DB</t>
        </is>
      </c>
      <c r="I976" s="26" t="inlineStr">
        <is>
          <t>POGD</t>
        </is>
      </c>
      <c r="J976" s="26" t="n"/>
      <c r="K976" s="26" t="n"/>
      <c r="L976" s="26" t="inlineStr">
        <is>
          <t>/DB/POGD</t>
        </is>
      </c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inlineStr">
        <is>
          <t>DELETE, GET, POST, PUT</t>
        </is>
      </c>
      <c r="W976" s="26" t="n"/>
      <c r="X976" s="26" t="n"/>
    </row>
    <row r="977">
      <c r="A977" s="26" t="n"/>
      <c r="B977" s="26" t="n"/>
      <c r="C977" s="26" t="inlineStr">
        <is>
          <t>DB_Boundary</t>
        </is>
      </c>
      <c r="D977" s="26" t="inlineStr">
        <is>
          <t>DB_Boundary</t>
        </is>
      </c>
      <c r="E977" s="26" t="inlineStr">
        <is>
          <t>Ignore Elements for Pushover Intial Load</t>
        </is>
      </c>
      <c r="F977" s="26" t="n"/>
      <c r="G977" s="26" t="n"/>
      <c r="H977" s="26" t="inlineStr">
        <is>
          <t>DB</t>
        </is>
      </c>
      <c r="I977" s="26" t="inlineStr">
        <is>
          <t>IEPI</t>
        </is>
      </c>
      <c r="J977" s="26" t="n"/>
      <c r="K977" s="26" t="n"/>
      <c r="L977" s="26" t="inlineStr">
        <is>
          <t>/DB/IEPI</t>
        </is>
      </c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inlineStr">
        <is>
          <t>DELETE, GET, POST, PUT</t>
        </is>
      </c>
      <c r="W977" s="26" t="n"/>
      <c r="X977" s="26" t="n"/>
    </row>
    <row r="978">
      <c r="A978" s="26" t="n"/>
      <c r="B978" s="26" t="n"/>
      <c r="C978" s="26" t="inlineStr">
        <is>
          <t>DB_Pushover</t>
        </is>
      </c>
      <c r="D978" s="26" t="inlineStr">
        <is>
          <t>DB_Pushover</t>
        </is>
      </c>
      <c r="E978" s="26" t="inlineStr">
        <is>
          <t>Assign Pushover Hinge Properties</t>
        </is>
      </c>
      <c r="F978" s="26" t="n"/>
      <c r="G978" s="26" t="n"/>
      <c r="H978" s="26" t="inlineStr">
        <is>
          <t>DB</t>
        </is>
      </c>
      <c r="I978" s="26" t="inlineStr">
        <is>
          <t>PHGE</t>
        </is>
      </c>
      <c r="J978" s="26" t="n"/>
      <c r="K978" s="26" t="n"/>
      <c r="L978" s="26" t="inlineStr">
        <is>
          <t>/DB/PHGE</t>
        </is>
      </c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inlineStr">
        <is>
          <t>DELETE, GET, POST, PUT</t>
        </is>
      </c>
      <c r="W978" s="26" t="n"/>
      <c r="X978" s="26" t="n"/>
    </row>
    <row r="979">
      <c r="A979" s="26" t="n"/>
      <c r="B979" s="26" t="n"/>
      <c r="C979" s="26" t="inlineStr">
        <is>
          <t>DB_Pushover</t>
        </is>
      </c>
      <c r="D979" s="26" t="inlineStr">
        <is>
          <t>DB_Pushover</t>
        </is>
      </c>
      <c r="E979" s="26" t="inlineStr">
        <is>
          <t>Pushover Load Cases</t>
        </is>
      </c>
      <c r="F979" s="26" t="n"/>
      <c r="G979" s="26" t="n"/>
      <c r="H979" s="26" t="inlineStr">
        <is>
          <t>DB</t>
        </is>
      </c>
      <c r="I979" s="26" t="inlineStr">
        <is>
          <t>POLC</t>
        </is>
      </c>
      <c r="J979" s="26" t="n"/>
      <c r="K979" s="26" t="n"/>
      <c r="L979" s="26" t="inlineStr">
        <is>
          <t>/DB/POLC</t>
        </is>
      </c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inlineStr">
        <is>
          <t>DELETE, GET, POST, PUT</t>
        </is>
      </c>
      <c r="W979" s="26" t="n"/>
      <c r="X979" s="26" t="n"/>
    </row>
    <row r="980">
      <c r="A980" s="26" t="n"/>
      <c r="B980" s="26" t="n"/>
      <c r="C980" s="26" t="inlineStr">
        <is>
          <t>DB_Design</t>
        </is>
      </c>
      <c r="D980" s="26" t="inlineStr">
        <is>
          <t>DB_Design</t>
        </is>
      </c>
      <c r="E980" s="26" t="inlineStr">
        <is>
          <t>RC Design Code</t>
        </is>
      </c>
      <c r="F980" s="26" t="n"/>
      <c r="G980" s="26" t="n"/>
      <c r="H980" s="26" t="inlineStr">
        <is>
          <t>DB</t>
        </is>
      </c>
      <c r="I980" s="26" t="inlineStr">
        <is>
          <t>DCON</t>
        </is>
      </c>
      <c r="J980" s="26" t="n"/>
      <c r="K980" s="26" t="n"/>
      <c r="L980" s="26" t="inlineStr">
        <is>
          <t>/DB/DCON</t>
        </is>
      </c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inlineStr">
        <is>
          <t>DELETE, GET, POST, PUT</t>
        </is>
      </c>
      <c r="W980" s="26" t="n"/>
      <c r="X980" s="26" t="n"/>
    </row>
    <row r="981">
      <c r="A981" s="26" t="n"/>
      <c r="B981" s="26" t="n"/>
      <c r="C981" s="26" t="inlineStr">
        <is>
          <t>DB_Design</t>
        </is>
      </c>
      <c r="D981" s="26" t="inlineStr">
        <is>
          <t>DB_Design</t>
        </is>
      </c>
      <c r="E981" s="26" t="inlineStr">
        <is>
          <t>Modify Concrete Materials</t>
        </is>
      </c>
      <c r="F981" s="26" t="n"/>
      <c r="G981" s="26" t="n"/>
      <c r="H981" s="26" t="inlineStr">
        <is>
          <t>DB</t>
        </is>
      </c>
      <c r="I981" s="26" t="inlineStr">
        <is>
          <t>MATD</t>
        </is>
      </c>
      <c r="J981" s="26" t="n"/>
      <c r="K981" s="26" t="n"/>
      <c r="L981" s="26" t="inlineStr">
        <is>
          <t>/DB/MATD</t>
        </is>
      </c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inlineStr">
        <is>
          <t>GET, PUT</t>
        </is>
      </c>
      <c r="W981" s="26" t="n"/>
      <c r="X981" s="26" t="n"/>
    </row>
    <row r="982">
      <c r="A982" s="26" t="n"/>
      <c r="B982" s="26" t="n"/>
      <c r="C982" s="26" t="inlineStr">
        <is>
          <t>DB_Design</t>
        </is>
      </c>
      <c r="D982" s="26" t="inlineStr">
        <is>
          <t>DB_Design</t>
        </is>
      </c>
      <c r="E982" s="26" t="inlineStr">
        <is>
          <t>Rebar Input for Checking - Beam/Column</t>
        </is>
      </c>
      <c r="F982" s="26" t="n"/>
      <c r="G982" s="26" t="n"/>
      <c r="H982" s="26" t="inlineStr">
        <is>
          <t>DB</t>
        </is>
      </c>
      <c r="I982" s="26" t="inlineStr">
        <is>
          <t>RCHK</t>
        </is>
      </c>
      <c r="J982" s="26" t="n"/>
      <c r="K982" s="26" t="n"/>
      <c r="L982" s="26" t="inlineStr">
        <is>
          <t>/DB/RCHK</t>
        </is>
      </c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inlineStr">
        <is>
          <t>DELETE, GET, POST, PUT</t>
        </is>
      </c>
      <c r="W982" s="26" t="n"/>
      <c r="X982" s="26" t="n"/>
    </row>
    <row r="983">
      <c r="A983" s="26" t="n"/>
      <c r="B983" s="26" t="n"/>
      <c r="C983" s="26" t="inlineStr">
        <is>
          <t>DB_Design</t>
        </is>
      </c>
      <c r="D983" s="26" t="inlineStr">
        <is>
          <t>DB_Design</t>
        </is>
      </c>
      <c r="E983" s="26" t="inlineStr">
        <is>
          <t>Unbraced Length</t>
        </is>
      </c>
      <c r="F983" s="26" t="n"/>
      <c r="G983" s="26" t="n"/>
      <c r="H983" s="26" t="inlineStr">
        <is>
          <t>DB</t>
        </is>
      </c>
      <c r="I983" s="26" t="inlineStr">
        <is>
          <t>LENG</t>
        </is>
      </c>
      <c r="J983" s="26" t="n"/>
      <c r="K983" s="26" t="n"/>
      <c r="L983" s="26" t="inlineStr">
        <is>
          <t>/DB/LENG</t>
        </is>
      </c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inlineStr">
        <is>
          <t>DELETE, GET, POST, PUT</t>
        </is>
      </c>
      <c r="W983" s="26" t="n"/>
      <c r="X983" s="26" t="n"/>
    </row>
    <row r="984">
      <c r="A984" s="26" t="n"/>
      <c r="B984" s="26" t="n"/>
      <c r="C984" s="26" t="inlineStr">
        <is>
          <t>DB_Design</t>
        </is>
      </c>
      <c r="D984" s="26" t="inlineStr">
        <is>
          <t>DB_Design</t>
        </is>
      </c>
      <c r="E984" s="26" t="inlineStr">
        <is>
          <t>Member Assignment</t>
        </is>
      </c>
      <c r="F984" s="26" t="n"/>
      <c r="G984" s="26" t="n"/>
      <c r="H984" s="26" t="inlineStr">
        <is>
          <t>DB</t>
        </is>
      </c>
      <c r="I984" s="26" t="inlineStr">
        <is>
          <t>MEMB</t>
        </is>
      </c>
      <c r="J984" s="26" t="n"/>
      <c r="K984" s="26" t="n"/>
      <c r="L984" s="26" t="inlineStr">
        <is>
          <t>/DB/MEMB</t>
        </is>
      </c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inlineStr">
        <is>
          <t>DELETE, GET, POST, PUT</t>
        </is>
      </c>
      <c r="W984" s="26" t="n"/>
      <c r="X984" s="26" t="n"/>
    </row>
    <row r="985">
      <c r="A985" s="26" t="n"/>
      <c r="B985" s="26" t="n"/>
      <c r="C985" s="26" t="inlineStr">
        <is>
          <t>DB_Analysis</t>
        </is>
      </c>
      <c r="D985" s="26" t="inlineStr">
        <is>
          <t>DB_Analysis</t>
        </is>
      </c>
      <c r="E985" s="26" t="inlineStr">
        <is>
          <t>Definition of Frame</t>
        </is>
      </c>
      <c r="F985" s="26" t="n"/>
      <c r="G985" s="26" t="n"/>
      <c r="H985" s="26" t="inlineStr">
        <is>
          <t>DB</t>
        </is>
      </c>
      <c r="I985" s="26" t="inlineStr">
        <is>
          <t>DCTL</t>
        </is>
      </c>
      <c r="J985" s="26" t="n"/>
      <c r="K985" s="26" t="n"/>
      <c r="L985" s="26" t="inlineStr">
        <is>
          <t>/DB/DCTL</t>
        </is>
      </c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inlineStr">
        <is>
          <t>DELETE, GET, POST, PUT</t>
        </is>
      </c>
      <c r="W985" s="26" t="n"/>
      <c r="X985" s="26" t="n"/>
    </row>
    <row r="986">
      <c r="A986" s="26" t="n"/>
      <c r="B986" s="26" t="n"/>
      <c r="C986" s="26" t="inlineStr">
        <is>
          <t>DB_Design</t>
        </is>
      </c>
      <c r="D986" s="26" t="inlineStr">
        <is>
          <t>DB_Design</t>
        </is>
      </c>
      <c r="E986" s="26" t="inlineStr">
        <is>
          <t>Underground Load Combination Type</t>
        </is>
      </c>
      <c r="F986" s="26" t="n"/>
      <c r="G986" s="26" t="n"/>
      <c r="H986" s="26" t="inlineStr">
        <is>
          <t>DB</t>
        </is>
      </c>
      <c r="I986" s="26" t="inlineStr">
        <is>
          <t>LTSR</t>
        </is>
      </c>
      <c r="J986" s="26" t="n"/>
      <c r="K986" s="26" t="n"/>
      <c r="L986" s="26" t="inlineStr">
        <is>
          <t>/DB/LTSR</t>
        </is>
      </c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inlineStr">
        <is>
          <t>DELETE, GET, POST, PUT</t>
        </is>
      </c>
      <c r="W986" s="26" t="n"/>
      <c r="X986" s="26" t="n"/>
    </row>
    <row r="987">
      <c r="A987" s="26" t="n"/>
      <c r="B987" s="26" t="n"/>
      <c r="C987" s="26" t="inlineStr">
        <is>
          <t>DB_Design</t>
        </is>
      </c>
      <c r="D987" s="26" t="inlineStr">
        <is>
          <t>DB_Design</t>
        </is>
      </c>
      <c r="E987" s="26" t="inlineStr">
        <is>
          <t>Modify Member Type</t>
        </is>
      </c>
      <c r="F987" s="26" t="n"/>
      <c r="G987" s="26" t="n"/>
      <c r="H987" s="26" t="inlineStr">
        <is>
          <t>DB</t>
        </is>
      </c>
      <c r="I987" s="26" t="inlineStr">
        <is>
          <t>MBTP</t>
        </is>
      </c>
      <c r="J987" s="26" t="n"/>
      <c r="K987" s="26" t="n"/>
      <c r="L987" s="26" t="inlineStr">
        <is>
          <t>/DB/MBTP</t>
        </is>
      </c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inlineStr">
        <is>
          <t>DELETE, GET, POST, PUT</t>
        </is>
      </c>
      <c r="W987" s="26" t="n"/>
      <c r="X987" s="26" t="n"/>
    </row>
    <row r="988">
      <c r="A988" s="26" t="n"/>
      <c r="B988" s="26" t="n"/>
      <c r="C988" s="26" t="inlineStr">
        <is>
          <t>DB_Design</t>
        </is>
      </c>
      <c r="D988" s="26" t="inlineStr">
        <is>
          <t>DB_Design</t>
        </is>
      </c>
      <c r="E988" s="26" t="inlineStr">
        <is>
          <t>Modify Wall Mark Design</t>
        </is>
      </c>
      <c r="F988" s="26" t="n"/>
      <c r="G988" s="26" t="n"/>
      <c r="H988" s="26" t="inlineStr">
        <is>
          <t>DB</t>
        </is>
      </c>
      <c r="I988" s="26" t="inlineStr">
        <is>
          <t>WMAK</t>
        </is>
      </c>
      <c r="J988" s="26" t="n"/>
      <c r="K988" s="26" t="n"/>
      <c r="L988" s="26" t="inlineStr">
        <is>
          <t>/DB/WMAK</t>
        </is>
      </c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inlineStr">
        <is>
          <t>DELETE, GET, POST, PUT</t>
        </is>
      </c>
      <c r="W988" s="26" t="n"/>
      <c r="X988" s="26" t="n"/>
    </row>
    <row r="989">
      <c r="A989" s="26" t="n"/>
      <c r="B989" s="26" t="n"/>
      <c r="C989" s="26" t="inlineStr">
        <is>
          <t>DB_Design</t>
        </is>
      </c>
      <c r="D989" s="26" t="inlineStr">
        <is>
          <t>DB_Design</t>
        </is>
      </c>
      <c r="E989" s="26" t="inlineStr">
        <is>
          <t>Design Steel Code</t>
        </is>
      </c>
      <c r="F989" s="26" t="n"/>
      <c r="G989" s="26" t="n"/>
      <c r="H989" s="26" t="inlineStr">
        <is>
          <t>DB</t>
        </is>
      </c>
      <c r="I989" s="26" t="inlineStr">
        <is>
          <t>DSTL</t>
        </is>
      </c>
      <c r="J989" s="26" t="n"/>
      <c r="K989" s="26" t="n"/>
      <c r="L989" s="26" t="inlineStr">
        <is>
          <t>/DB/DSTL</t>
        </is>
      </c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inlineStr">
        <is>
          <t>DELETE, GET, POST, PUT</t>
        </is>
      </c>
      <c r="W989" s="26" t="n"/>
      <c r="X989" s="26" t="n"/>
    </row>
    <row r="990">
      <c r="A990" s="26" t="n"/>
      <c r="B990" s="26" t="n"/>
      <c r="C990" s="26" t="inlineStr">
        <is>
          <t>DB_Boundary</t>
        </is>
      </c>
      <c r="D990" s="26" t="inlineStr">
        <is>
          <t>DB_Boundary</t>
        </is>
      </c>
      <c r="E990" s="26" t="n"/>
      <c r="F990" s="26" t="n"/>
      <c r="G990" s="26" t="n"/>
      <c r="H990" s="26" t="inlineStr">
        <is>
          <t>DB</t>
        </is>
      </c>
      <c r="I990" s="26" t="inlineStr">
        <is>
          <t>EARE</t>
        </is>
      </c>
      <c r="J990" s="26" t="n"/>
      <c r="K990" s="26" t="n"/>
      <c r="L990" s="26" t="inlineStr">
        <is>
          <t>/DB/EARE</t>
        </is>
      </c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inlineStr">
        <is>
          <t>DELETE, GET, POST, PUT</t>
        </is>
      </c>
      <c r="W990" s="26" t="n"/>
      <c r="X990" s="26" t="n"/>
    </row>
    <row r="991">
      <c r="A991" s="26" t="n"/>
      <c r="B991" s="26" t="n"/>
      <c r="C991" s="26" t="inlineStr">
        <is>
          <t>DB_Static Loads</t>
        </is>
      </c>
      <c r="D991" s="26" t="inlineStr">
        <is>
          <t>DB_Static Loads</t>
        </is>
      </c>
      <c r="E991" s="26" t="n"/>
      <c r="F991" s="26" t="n"/>
      <c r="G991" s="26" t="n"/>
      <c r="H991" s="26" t="inlineStr">
        <is>
          <t>DB</t>
        </is>
      </c>
      <c r="I991" s="26" t="inlineStr">
        <is>
          <t>EQMF</t>
        </is>
      </c>
      <c r="J991" s="26" t="n"/>
      <c r="K991" s="26" t="n"/>
      <c r="L991" s="26" t="inlineStr">
        <is>
          <t>/DB/EQMF</t>
        </is>
      </c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inlineStr">
        <is>
          <t>DELETE, GET, POST, PUT</t>
        </is>
      </c>
      <c r="W991" s="26" t="n"/>
      <c r="X991" s="26" t="n"/>
    </row>
    <row r="992">
      <c r="A992" s="26" t="n"/>
      <c r="B992" s="26" t="n"/>
      <c r="C992" s="26" t="inlineStr">
        <is>
          <t>DB_Grid Model Analysis Loads</t>
        </is>
      </c>
      <c r="D992" s="26" t="inlineStr">
        <is>
          <t>DB_Grid Model Analysis Loads</t>
        </is>
      </c>
      <c r="E992" s="26" t="inlineStr">
        <is>
          <t>Grid Analysis Load</t>
        </is>
      </c>
      <c r="F992" s="26" t="n"/>
      <c r="G992" s="26" t="n"/>
      <c r="H992" s="26" t="inlineStr">
        <is>
          <t>DB</t>
        </is>
      </c>
      <c r="I992" s="26" t="inlineStr">
        <is>
          <t>GALD</t>
        </is>
      </c>
      <c r="J992" s="26" t="n"/>
      <c r="K992" s="26" t="n"/>
      <c r="L992" s="26" t="inlineStr">
        <is>
          <t>/DB/GALD</t>
        </is>
      </c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inlineStr">
        <is>
          <t>DELETE, GET, POST, PUT</t>
        </is>
      </c>
      <c r="W992" s="26" t="n"/>
      <c r="X992" s="26" t="n"/>
    </row>
    <row r="993">
      <c r="A993" s="26" t="n"/>
      <c r="B993" s="26" t="n"/>
      <c r="C993" s="26" t="inlineStr">
        <is>
          <t>DB_Properties</t>
        </is>
      </c>
      <c r="D993" s="26" t="inlineStr">
        <is>
          <t>DB_Properties</t>
        </is>
      </c>
      <c r="E993" s="26" t="n"/>
      <c r="F993" s="26" t="n"/>
      <c r="G993" s="26" t="n"/>
      <c r="H993" s="26" t="inlineStr">
        <is>
          <t>DB</t>
        </is>
      </c>
      <c r="I993" s="26" t="inlineStr">
        <is>
          <t>IEHP</t>
        </is>
      </c>
      <c r="J993" s="26" t="n"/>
      <c r="K993" s="26" t="n"/>
      <c r="L993" s="26" t="inlineStr">
        <is>
          <t>/DB/IEHP</t>
        </is>
      </c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inlineStr">
        <is>
          <t>DELETE, GET, POST, PUT</t>
        </is>
      </c>
      <c r="W993" s="26" t="n"/>
      <c r="X993" s="26" t="n"/>
    </row>
    <row r="994">
      <c r="A994" s="26" t="n"/>
      <c r="B994" s="26" t="n"/>
      <c r="C994" s="26" t="inlineStr">
        <is>
          <t>DB_Design</t>
        </is>
      </c>
      <c r="D994" s="26" t="inlineStr">
        <is>
          <t>DB_Design</t>
        </is>
      </c>
      <c r="E994" s="26" t="n"/>
      <c r="F994" s="26" t="n"/>
      <c r="G994" s="26" t="n"/>
      <c r="H994" s="26" t="inlineStr">
        <is>
          <t>DB</t>
        </is>
      </c>
      <c r="I994" s="26" t="inlineStr">
        <is>
          <t>KFAC</t>
        </is>
      </c>
      <c r="J994" s="26" t="n"/>
      <c r="K994" s="26" t="n"/>
      <c r="L994" s="26" t="inlineStr">
        <is>
          <t>/DB/KFAC</t>
        </is>
      </c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inlineStr">
        <is>
          <t>DELETE, GET, POST, PUT</t>
        </is>
      </c>
      <c r="W994" s="26" t="n"/>
      <c r="X994" s="26" t="n"/>
    </row>
    <row r="995">
      <c r="A995" s="26" t="n"/>
      <c r="B995" s="26" t="n"/>
      <c r="C995" s="26" t="inlineStr">
        <is>
          <t>DB_Design</t>
        </is>
      </c>
      <c r="D995" s="26" t="inlineStr">
        <is>
          <t>DB_Design</t>
        </is>
      </c>
      <c r="E995" s="26" t="n"/>
      <c r="F995" s="26" t="n"/>
      <c r="G995" s="26" t="n"/>
      <c r="H995" s="26" t="inlineStr">
        <is>
          <t>DB</t>
        </is>
      </c>
      <c r="I995" s="26" t="inlineStr">
        <is>
          <t>MDGN</t>
        </is>
      </c>
      <c r="J995" s="26" t="n"/>
      <c r="K995" s="26" t="n"/>
      <c r="L995" s="26" t="inlineStr">
        <is>
          <t>/DB/MDGN</t>
        </is>
      </c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inlineStr">
        <is>
          <t>DELETE, GET, POST, PUT</t>
        </is>
      </c>
      <c r="W995" s="26" t="n"/>
      <c r="X995" s="26" t="n"/>
    </row>
    <row r="996">
      <c r="A996" s="26" t="n"/>
      <c r="B996" s="26" t="n"/>
      <c r="C996" s="26" t="inlineStr">
        <is>
          <t>DB_Design</t>
        </is>
      </c>
      <c r="D996" s="26" t="inlineStr">
        <is>
          <t>DB_Design</t>
        </is>
      </c>
      <c r="E996" s="26" t="n"/>
      <c r="F996" s="26" t="n"/>
      <c r="G996" s="26" t="n"/>
      <c r="H996" s="26" t="inlineStr">
        <is>
          <t>DB</t>
        </is>
      </c>
      <c r="I996" s="26" t="inlineStr">
        <is>
          <t>MRFT</t>
        </is>
      </c>
      <c r="J996" s="26" t="n"/>
      <c r="K996" s="26" t="n"/>
      <c r="L996" s="26" t="inlineStr">
        <is>
          <t>/DB/MRFT</t>
        </is>
      </c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inlineStr">
        <is>
          <t>DELETE, GET, POST, PUT</t>
        </is>
      </c>
      <c r="W996" s="26" t="n"/>
      <c r="X996" s="26" t="n"/>
    </row>
    <row r="997">
      <c r="A997" s="26" t="n"/>
      <c r="B997" s="26" t="n"/>
      <c r="C997" s="26" t="inlineStr">
        <is>
          <t>DB_Properties</t>
        </is>
      </c>
      <c r="D997" s="26" t="inlineStr">
        <is>
          <t>DB_Properties</t>
        </is>
      </c>
      <c r="E997" s="26" t="n"/>
      <c r="F997" s="26" t="n"/>
      <c r="G997" s="26" t="n"/>
      <c r="H997" s="26" t="inlineStr">
        <is>
          <t>DB</t>
        </is>
      </c>
      <c r="I997" s="26" t="inlineStr">
        <is>
          <t>MTCS</t>
        </is>
      </c>
      <c r="J997" s="26" t="n"/>
      <c r="K997" s="26" t="n"/>
      <c r="L997" s="26" t="inlineStr">
        <is>
          <t>/DB/MTCS</t>
        </is>
      </c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inlineStr">
        <is>
          <t>DELETE, GET, POST, PUT</t>
        </is>
      </c>
      <c r="W997" s="26" t="n"/>
      <c r="X997" s="26" t="n"/>
    </row>
    <row r="998">
      <c r="A998" s="26" t="n"/>
      <c r="B998" s="26" t="n"/>
      <c r="C998" s="26" t="inlineStr">
        <is>
          <t>DB_View</t>
        </is>
      </c>
      <c r="D998" s="26" t="inlineStr">
        <is>
          <t>DB_View</t>
        </is>
      </c>
      <c r="E998" s="26" t="n"/>
      <c r="F998" s="26" t="n"/>
      <c r="G998" s="26" t="n"/>
      <c r="H998" s="26" t="inlineStr">
        <is>
          <t>DB</t>
        </is>
      </c>
      <c r="I998" s="26" t="inlineStr">
        <is>
          <t>NUCS</t>
        </is>
      </c>
      <c r="J998" s="26" t="n"/>
      <c r="K998" s="26" t="n"/>
      <c r="L998" s="26" t="inlineStr">
        <is>
          <t>/DB/NUCS</t>
        </is>
      </c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inlineStr">
        <is>
          <t>DELETE, GET, POST, PUT</t>
        </is>
      </c>
      <c r="W998" s="26" t="n"/>
      <c r="X998" s="26" t="n"/>
    </row>
    <row r="999">
      <c r="A999" s="26" t="n"/>
      <c r="B999" s="26" t="n"/>
      <c r="C999" s="26" t="inlineStr">
        <is>
          <t>DB_Properties</t>
        </is>
      </c>
      <c r="D999" s="26" t="inlineStr">
        <is>
          <t>DB_Properties</t>
        </is>
      </c>
      <c r="E999" s="26" t="n"/>
      <c r="F999" s="26" t="n"/>
      <c r="G999" s="26" t="n"/>
      <c r="H999" s="26" t="inlineStr">
        <is>
          <t>DB</t>
        </is>
      </c>
      <c r="I999" s="26" t="inlineStr">
        <is>
          <t>PHGT</t>
        </is>
      </c>
      <c r="J999" s="26" t="n"/>
      <c r="K999" s="26" t="n"/>
      <c r="L999" s="26" t="inlineStr">
        <is>
          <t>/DB/PHGT</t>
        </is>
      </c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inlineStr">
        <is>
          <t>DELETE, GET, POST, PUT</t>
        </is>
      </c>
      <c r="W999" s="26" t="n"/>
      <c r="X999" s="26" t="n"/>
    </row>
    <row r="1000">
      <c r="A1000" s="26" t="n"/>
      <c r="B1000" s="26" t="n"/>
      <c r="C1000" s="26" t="inlineStr">
        <is>
          <t>DB_Analysis</t>
        </is>
      </c>
      <c r="D1000" s="26" t="inlineStr">
        <is>
          <t>DB_Analysis</t>
        </is>
      </c>
      <c r="E1000" s="26" t="n"/>
      <c r="F1000" s="26" t="n"/>
      <c r="G1000" s="26" t="n"/>
      <c r="H1000" s="26" t="inlineStr">
        <is>
          <t>DB</t>
        </is>
      </c>
      <c r="I1000" s="26" t="inlineStr">
        <is>
          <t>SBCT</t>
        </is>
      </c>
      <c r="J1000" s="26" t="n"/>
      <c r="K1000" s="26" t="n"/>
      <c r="L1000" s="26" t="inlineStr">
        <is>
          <t>/DB/SBCT</t>
        </is>
      </c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inlineStr">
        <is>
          <t>DELETE, GET, POST, PUT</t>
        </is>
      </c>
      <c r="W1000" s="26" t="n"/>
      <c r="X1000" s="26" t="n"/>
    </row>
    <row r="1001">
      <c r="A1001" s="26" t="n"/>
      <c r="B1001" s="26" t="n"/>
      <c r="C1001" s="26" t="inlineStr">
        <is>
          <t>DB_Properties</t>
        </is>
      </c>
      <c r="D1001" s="26" t="inlineStr">
        <is>
          <t>DB_Properties</t>
        </is>
      </c>
      <c r="E1001" s="26" t="n"/>
      <c r="F1001" s="26" t="n"/>
      <c r="G1001" s="26" t="n"/>
      <c r="H1001" s="26" t="inlineStr">
        <is>
          <t>DB</t>
        </is>
      </c>
      <c r="I1001" s="26" t="inlineStr">
        <is>
          <t>SECP</t>
        </is>
      </c>
      <c r="J1001" s="26" t="n"/>
      <c r="K1001" s="26" t="n"/>
      <c r="L1001" s="26" t="inlineStr">
        <is>
          <t>/DB/SECP</t>
        </is>
      </c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inlineStr">
        <is>
          <t>DELETE, GET, POST, PUT</t>
        </is>
      </c>
      <c r="W1001" s="26" t="n"/>
      <c r="X1001" s="26" t="n"/>
    </row>
    <row r="1002">
      <c r="A1002" s="26" t="n"/>
      <c r="B1002" s="26" t="n"/>
      <c r="C1002" s="26" t="inlineStr">
        <is>
          <t>DB_Properties</t>
        </is>
      </c>
      <c r="D1002" s="26" t="inlineStr">
        <is>
          <t>DB_Properties</t>
        </is>
      </c>
      <c r="E1002" s="26" t="n"/>
      <c r="F1002" s="26" t="n"/>
      <c r="G1002" s="26" t="n"/>
      <c r="H1002" s="26" t="inlineStr">
        <is>
          <t>DB</t>
        </is>
      </c>
      <c r="I1002" s="26" t="inlineStr">
        <is>
          <t>SECV</t>
        </is>
      </c>
      <c r="J1002" s="26" t="n"/>
      <c r="K1002" s="26" t="n"/>
      <c r="L1002" s="26" t="inlineStr">
        <is>
          <t>/DB/SECV</t>
        </is>
      </c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inlineStr">
        <is>
          <t>DELETE, GET, POST, PUT</t>
        </is>
      </c>
      <c r="W1002" s="26" t="n"/>
      <c r="X1002" s="26" t="n"/>
    </row>
    <row r="1003">
      <c r="A1003" s="26" t="n"/>
      <c r="B1003" s="26" t="n"/>
      <c r="C1003" s="26" t="inlineStr">
        <is>
          <t>DB_Construction Stage Loads (Test)</t>
        </is>
      </c>
      <c r="D1003" s="26" t="inlineStr">
        <is>
          <t>DB_Construction Stage Loads (Test)</t>
        </is>
      </c>
      <c r="E1003" s="26" t="n"/>
      <c r="F1003" s="26" t="n"/>
      <c r="G1003" s="26" t="n"/>
      <c r="H1003" s="26" t="inlineStr">
        <is>
          <t>DB</t>
        </is>
      </c>
      <c r="I1003" s="26" t="inlineStr">
        <is>
          <t>SGLD</t>
        </is>
      </c>
      <c r="J1003" s="26" t="n"/>
      <c r="K1003" s="26" t="n"/>
      <c r="L1003" s="26" t="inlineStr">
        <is>
          <t>/DB/SGLD</t>
        </is>
      </c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inlineStr">
        <is>
          <t>GET</t>
        </is>
      </c>
      <c r="W1003" s="26" t="n"/>
      <c r="X1003" s="26" t="n"/>
    </row>
    <row r="1004">
      <c r="A1004" s="26" t="n"/>
      <c r="B1004" s="26" t="n"/>
      <c r="C1004" s="26" t="inlineStr">
        <is>
          <t>DB_View</t>
        </is>
      </c>
      <c r="D1004" s="26" t="inlineStr">
        <is>
          <t>DB_View</t>
        </is>
      </c>
      <c r="E1004" s="26" t="n"/>
      <c r="F1004" s="26" t="n"/>
      <c r="G1004" s="26" t="n"/>
      <c r="H1004" s="26" t="inlineStr">
        <is>
          <t>DB</t>
        </is>
      </c>
      <c r="I1004" s="26" t="inlineStr">
        <is>
          <t>UFIG</t>
        </is>
      </c>
      <c r="J1004" s="26" t="n"/>
      <c r="K1004" s="26" t="n"/>
      <c r="L1004" s="26" t="inlineStr">
        <is>
          <t>/DB/UFIG</t>
        </is>
      </c>
      <c r="M1004" s="26" t="n"/>
      <c r="N1004" s="26" t="n"/>
      <c r="O1004" s="26" t="n"/>
      <c r="P1004" s="26" t="n"/>
      <c r="Q1004" s="26" t="n"/>
      <c r="R1004" s="26" t="n"/>
      <c r="S1004" s="26" t="n"/>
      <c r="T1004" s="26" t="n"/>
      <c r="U1004" s="26" t="n"/>
      <c r="V1004" s="26" t="inlineStr">
        <is>
          <t>GET</t>
        </is>
      </c>
      <c r="W1004" s="26" t="n"/>
      <c r="X1004" s="26" t="n"/>
    </row>
    <row r="1005">
      <c r="A1005" s="26" t="n"/>
      <c r="B1005" s="26" t="n"/>
      <c r="C1005" s="26" t="inlineStr">
        <is>
          <t>DB_Properties</t>
        </is>
      </c>
      <c r="D1005" s="26" t="inlineStr">
        <is>
          <t>DB_Properties</t>
        </is>
      </c>
      <c r="E1005" s="26" t="n"/>
      <c r="F1005" s="26" t="n"/>
      <c r="G1005" s="26" t="n"/>
      <c r="H1005" s="26" t="inlineStr">
        <is>
          <t>DB</t>
        </is>
      </c>
      <c r="I1005" s="26" t="inlineStr">
        <is>
          <t>WSSF</t>
        </is>
      </c>
      <c r="J1005" s="26" t="n"/>
      <c r="K1005" s="26" t="n"/>
      <c r="L1005" s="26" t="inlineStr">
        <is>
          <t>/DB/WSSF</t>
        </is>
      </c>
      <c r="M1005" s="26" t="n"/>
      <c r="N1005" s="26" t="n"/>
      <c r="O1005" s="26" t="n"/>
      <c r="P1005" s="26" t="n"/>
      <c r="Q1005" s="26" t="n"/>
      <c r="R1005" s="26" t="n"/>
      <c r="S1005" s="26" t="n"/>
      <c r="T1005" s="26" t="n"/>
      <c r="U1005" s="26" t="n"/>
      <c r="V1005" s="26" t="inlineStr">
        <is>
          <t>DELETE, GET, POST, PUT</t>
        </is>
      </c>
      <c r="W1005" s="26" t="n"/>
      <c r="X1005" s="26" t="n"/>
    </row>
    <row r="1006">
      <c r="A1006" s="26" t="n"/>
      <c r="B1006" s="26" t="n"/>
      <c r="C1006" s="26" t="inlineStr">
        <is>
          <t>OPE</t>
        </is>
      </c>
      <c r="D1006" s="26" t="inlineStr">
        <is>
          <t>OPE</t>
        </is>
      </c>
      <c r="E1006" s="26" t="n"/>
      <c r="F1006" s="26" t="n"/>
      <c r="G1006" s="26" t="n"/>
      <c r="H1006" s="26" t="inlineStr">
        <is>
          <t>OPE</t>
        </is>
      </c>
      <c r="I1006" s="26" t="inlineStr">
        <is>
          <t>ANALSTATUS</t>
        </is>
      </c>
      <c r="J1006" s="26" t="n"/>
      <c r="K1006" s="26" t="n"/>
      <c r="L1006" s="26" t="inlineStr">
        <is>
          <t>/OPE/ANALSTATUS</t>
        </is>
      </c>
      <c r="M1006" s="26" t="n"/>
      <c r="N1006" s="26" t="n"/>
      <c r="O1006" s="26" t="n"/>
      <c r="P1006" s="26" t="n"/>
      <c r="Q1006" s="26" t="n"/>
      <c r="R1006" s="26" t="n"/>
      <c r="S1006" s="26" t="n"/>
      <c r="T1006" s="26" t="n"/>
      <c r="U1006" s="26" t="n"/>
      <c r="V1006" s="26" t="inlineStr">
        <is>
          <t>POST</t>
        </is>
      </c>
      <c r="W1006" s="26" t="n"/>
      <c r="X1006" s="26" t="n"/>
    </row>
    <row r="1007">
      <c r="A1007" s="26" t="n"/>
      <c r="B1007" s="26" t="n"/>
      <c r="C1007" s="26" t="inlineStr">
        <is>
          <t>OPE</t>
        </is>
      </c>
      <c r="D1007" s="26" t="inlineStr">
        <is>
          <t>OPE</t>
        </is>
      </c>
      <c r="E1007" s="26" t="n"/>
      <c r="F1007" s="26" t="n"/>
      <c r="G1007" s="26" t="n"/>
      <c r="H1007" s="26" t="inlineStr">
        <is>
          <t>OPE</t>
        </is>
      </c>
      <c r="I1007" s="26" t="inlineStr">
        <is>
          <t>APIEND</t>
        </is>
      </c>
      <c r="J1007" s="26" t="n"/>
      <c r="K1007" s="26" t="n"/>
      <c r="L1007" s="26" t="inlineStr">
        <is>
          <t>/OPE/APIEND</t>
        </is>
      </c>
      <c r="M1007" s="26" t="n"/>
      <c r="N1007" s="26" t="n"/>
      <c r="O1007" s="26" t="n"/>
      <c r="P1007" s="26" t="n"/>
      <c r="Q1007" s="26" t="n"/>
      <c r="R1007" s="26" t="n"/>
      <c r="S1007" s="26" t="n"/>
      <c r="T1007" s="26" t="n"/>
      <c r="U1007" s="26" t="n"/>
      <c r="V1007" s="26" t="inlineStr">
        <is>
          <t>GET</t>
        </is>
      </c>
      <c r="W1007" s="26" t="n"/>
      <c r="X1007" s="26" t="n"/>
    </row>
    <row r="1008">
      <c r="A1008" s="26" t="n"/>
      <c r="B1008" s="26" t="n"/>
      <c r="C1008" s="26" t="inlineStr">
        <is>
          <t>OPE</t>
        </is>
      </c>
      <c r="D1008" s="26" t="inlineStr">
        <is>
          <t>OPE</t>
        </is>
      </c>
      <c r="E1008" s="26" t="n"/>
      <c r="F1008" s="26" t="n"/>
      <c r="G1008" s="26" t="n"/>
      <c r="H1008" s="26" t="inlineStr">
        <is>
          <t>OPE</t>
        </is>
      </c>
      <c r="I1008" s="26" t="inlineStr">
        <is>
          <t>APISTART</t>
        </is>
      </c>
      <c r="J1008" s="26" t="n"/>
      <c r="K1008" s="26" t="n"/>
      <c r="L1008" s="26" t="inlineStr">
        <is>
          <t>/OPE/APISTART</t>
        </is>
      </c>
      <c r="M1008" s="26" t="n"/>
      <c r="N1008" s="26" t="n"/>
      <c r="O1008" s="26" t="n"/>
      <c r="P1008" s="26" t="n"/>
      <c r="Q1008" s="26" t="n"/>
      <c r="R1008" s="26" t="n"/>
      <c r="S1008" s="26" t="n"/>
      <c r="T1008" s="26" t="n"/>
      <c r="U1008" s="26" t="n"/>
      <c r="V1008" s="26" t="inlineStr">
        <is>
          <t>GET</t>
        </is>
      </c>
      <c r="W1008" s="26" t="n"/>
      <c r="X1008" s="26" t="n"/>
    </row>
    <row r="1009">
      <c r="A1009" s="26" t="n"/>
      <c r="B1009" s="26" t="n"/>
      <c r="C1009" s="26" t="inlineStr">
        <is>
          <t>OPE</t>
        </is>
      </c>
      <c r="D1009" s="26" t="inlineStr">
        <is>
          <t>OPE</t>
        </is>
      </c>
      <c r="E1009" s="26" t="inlineStr">
        <is>
          <t>Project Status</t>
        </is>
      </c>
      <c r="F1009" s="26" t="n"/>
      <c r="G1009" s="26" t="n"/>
      <c r="H1009" s="26" t="inlineStr">
        <is>
          <t>OPE</t>
        </is>
      </c>
      <c r="I1009" s="26" t="inlineStr">
        <is>
          <t>PROJECTSTATUS</t>
        </is>
      </c>
      <c r="J1009" s="26" t="n"/>
      <c r="K1009" s="26" t="n"/>
      <c r="L1009" s="26" t="inlineStr">
        <is>
          <t>/OPE/PROJECTSTATUS</t>
        </is>
      </c>
      <c r="M1009" s="26" t="n"/>
      <c r="N1009" s="26" t="n"/>
      <c r="O1009" s="26" t="n"/>
      <c r="P1009" s="26" t="n"/>
      <c r="Q1009" s="26" t="n"/>
      <c r="R1009" s="26" t="n"/>
      <c r="S1009" s="26" t="n"/>
      <c r="T1009" s="26" t="n"/>
      <c r="U1009" s="26" t="n"/>
      <c r="V1009" s="26" t="inlineStr">
        <is>
          <t>GET</t>
        </is>
      </c>
      <c r="W1009" s="26" t="n"/>
      <c r="X1009" s="26" t="n"/>
    </row>
    <row r="1010">
      <c r="A1010" s="26" t="n"/>
      <c r="B1010" s="26" t="n"/>
      <c r="C1010" s="26" t="inlineStr">
        <is>
          <t>OPE</t>
        </is>
      </c>
      <c r="D1010" s="26" t="inlineStr">
        <is>
          <t>OPE</t>
        </is>
      </c>
      <c r="E1010" s="26" t="inlineStr">
        <is>
          <t>Divide Elements</t>
        </is>
      </c>
      <c r="F1010" s="26" t="n"/>
      <c r="G1010" s="26" t="n"/>
      <c r="H1010" s="26" t="inlineStr">
        <is>
          <t>OPE</t>
        </is>
      </c>
      <c r="I1010" s="26" t="inlineStr">
        <is>
          <t>DIVIDEELEM</t>
        </is>
      </c>
      <c r="J1010" s="26" t="n"/>
      <c r="K1010" s="26" t="n"/>
      <c r="L1010" s="26" t="inlineStr">
        <is>
          <t>/OPE/DIVIDEELEM</t>
        </is>
      </c>
      <c r="M1010" s="26" t="n"/>
      <c r="N1010" s="26" t="n"/>
      <c r="O1010" s="26" t="n"/>
      <c r="P1010" s="26" t="n"/>
      <c r="Q1010" s="26" t="n"/>
      <c r="R1010" s="26" t="n"/>
      <c r="S1010" s="26" t="n"/>
      <c r="T1010" s="26" t="n"/>
      <c r="U1010" s="26" t="n"/>
      <c r="V1010" s="26" t="inlineStr">
        <is>
          <t>POST</t>
        </is>
      </c>
      <c r="W1010" s="26" t="n"/>
      <c r="X1010" s="26" t="n"/>
    </row>
    <row r="1011">
      <c r="A1011" s="26" t="n"/>
      <c r="B1011" s="26" t="n"/>
      <c r="C1011" s="26" t="inlineStr">
        <is>
          <t>OPE</t>
        </is>
      </c>
      <c r="D1011" s="26" t="inlineStr">
        <is>
          <t>OPE</t>
        </is>
      </c>
      <c r="E1011" s="26" t="n"/>
      <c r="F1011" s="26" t="n"/>
      <c r="G1011" s="26" t="n"/>
      <c r="H1011" s="26" t="inlineStr">
        <is>
          <t>OPE</t>
        </is>
      </c>
      <c r="I1011" s="26" t="inlineStr">
        <is>
          <t>SECTCORD</t>
        </is>
      </c>
      <c r="J1011" s="26" t="n"/>
      <c r="K1011" s="26" t="n"/>
      <c r="L1011" s="26" t="inlineStr">
        <is>
          <t>/OPE/SECTCORD</t>
        </is>
      </c>
      <c r="M1011" s="26" t="n"/>
      <c r="N1011" s="26" t="n"/>
      <c r="O1011" s="26" t="n"/>
      <c r="P1011" s="26" t="n"/>
      <c r="Q1011" s="26" t="n"/>
      <c r="R1011" s="26" t="n"/>
      <c r="S1011" s="26" t="n"/>
      <c r="T1011" s="26" t="n"/>
      <c r="U1011" s="26" t="n"/>
      <c r="V1011" s="26" t="inlineStr">
        <is>
          <t>POST</t>
        </is>
      </c>
      <c r="W1011" s="26" t="n"/>
      <c r="X1011" s="26" t="n"/>
    </row>
    <row r="1012">
      <c r="A1012" s="26" t="n"/>
      <c r="B1012" s="26" t="n"/>
      <c r="C1012" s="26" t="inlineStr">
        <is>
          <t>OPE</t>
        </is>
      </c>
      <c r="D1012" s="26" t="inlineStr">
        <is>
          <t>OPE</t>
        </is>
      </c>
      <c r="E1012" s="26" t="inlineStr">
        <is>
          <t>Section Properties Calculation Results</t>
        </is>
      </c>
      <c r="F1012" s="26" t="n"/>
      <c r="G1012" s="26" t="n"/>
      <c r="H1012" s="26" t="inlineStr">
        <is>
          <t>OPE</t>
        </is>
      </c>
      <c r="I1012" s="26" t="inlineStr">
        <is>
          <t>SECTPROP</t>
        </is>
      </c>
      <c r="J1012" s="26" t="n"/>
      <c r="K1012" s="26" t="n"/>
      <c r="L1012" s="26" t="inlineStr">
        <is>
          <t>/OPE/SECTPROP</t>
        </is>
      </c>
      <c r="M1012" s="26" t="n"/>
      <c r="N1012" s="26" t="n"/>
      <c r="O1012" s="26" t="n"/>
      <c r="P1012" s="26" t="n"/>
      <c r="Q1012" s="26" t="n"/>
      <c r="R1012" s="26" t="n"/>
      <c r="S1012" s="26" t="n"/>
      <c r="T1012" s="26" t="n"/>
      <c r="U1012" s="26" t="n"/>
      <c r="V1012" s="26" t="inlineStr">
        <is>
          <t>GET, POST</t>
        </is>
      </c>
      <c r="W1012" s="26" t="n"/>
      <c r="X1012" s="26" t="n"/>
    </row>
    <row r="1013">
      <c r="A1013" s="26" t="n"/>
      <c r="B1013" s="26" t="n"/>
      <c r="C1013" s="26" t="inlineStr">
        <is>
          <t>OPE</t>
        </is>
      </c>
      <c r="D1013" s="26" t="inlineStr">
        <is>
          <t>OPE</t>
        </is>
      </c>
      <c r="E1013" s="26" t="n"/>
      <c r="F1013" s="26" t="n"/>
      <c r="G1013" s="26" t="n"/>
      <c r="H1013" s="26" t="inlineStr">
        <is>
          <t>OPE</t>
        </is>
      </c>
      <c r="I1013" s="26" t="inlineStr">
        <is>
          <t>SECT_NAME</t>
        </is>
      </c>
      <c r="J1013" s="26" t="n"/>
      <c r="K1013" s="26" t="n"/>
      <c r="L1013" s="26" t="inlineStr">
        <is>
          <t>/OPE/SECT_NAME</t>
        </is>
      </c>
      <c r="M1013" s="26" t="n"/>
      <c r="N1013" s="26" t="n"/>
      <c r="O1013" s="26" t="n"/>
      <c r="P1013" s="26" t="n"/>
      <c r="Q1013" s="26" t="n"/>
      <c r="R1013" s="26" t="n"/>
      <c r="S1013" s="26" t="n"/>
      <c r="T1013" s="26" t="n"/>
      <c r="U1013" s="26" t="n"/>
      <c r="V1013" s="26" t="inlineStr">
        <is>
          <t>POST</t>
        </is>
      </c>
      <c r="W1013" s="26" t="n"/>
      <c r="X1013" s="26" t="n"/>
    </row>
    <row r="1014">
      <c r="A1014" s="26" t="n"/>
      <c r="B1014" s="26" t="n"/>
      <c r="C1014" s="26" t="inlineStr">
        <is>
          <t>OPE</t>
        </is>
      </c>
      <c r="D1014" s="26" t="inlineStr">
        <is>
          <t>OPE</t>
        </is>
      </c>
      <c r="E1014" s="26" t="n"/>
      <c r="F1014" s="26" t="n"/>
      <c r="G1014" s="26" t="n"/>
      <c r="H1014" s="26" t="inlineStr">
        <is>
          <t>OPE</t>
        </is>
      </c>
      <c r="I1014" s="26" t="inlineStr">
        <is>
          <t>SECT_SHAPE</t>
        </is>
      </c>
      <c r="J1014" s="26" t="n"/>
      <c r="K1014" s="26" t="n"/>
      <c r="L1014" s="26" t="inlineStr">
        <is>
          <t>/OPE/SECT_SHAPE</t>
        </is>
      </c>
      <c r="M1014" s="26" t="n"/>
      <c r="N1014" s="26" t="n"/>
      <c r="O1014" s="26" t="n"/>
      <c r="P1014" s="26" t="n"/>
      <c r="Q1014" s="26" t="n"/>
      <c r="R1014" s="26" t="n"/>
      <c r="S1014" s="26" t="n"/>
      <c r="T1014" s="26" t="n"/>
      <c r="U1014" s="26" t="n"/>
      <c r="V1014" s="26" t="inlineStr">
        <is>
          <t>GET</t>
        </is>
      </c>
      <c r="W1014" s="26" t="n"/>
      <c r="X1014" s="26" t="n"/>
    </row>
    <row r="1015">
      <c r="A1015" s="26" t="n"/>
      <c r="B1015" s="26" t="n"/>
      <c r="C1015" s="26" t="inlineStr">
        <is>
          <t>OPE</t>
        </is>
      </c>
      <c r="D1015" s="26" t="inlineStr">
        <is>
          <t>OPE</t>
        </is>
      </c>
      <c r="E1015" s="26" t="inlineStr">
        <is>
          <t>Using Load Combinations</t>
        </is>
      </c>
      <c r="F1015" s="26" t="n"/>
      <c r="G1015" s="26" t="n"/>
      <c r="H1015" s="26" t="inlineStr">
        <is>
          <t>OPE</t>
        </is>
      </c>
      <c r="I1015" s="26" t="inlineStr">
        <is>
          <t>USLC</t>
        </is>
      </c>
      <c r="J1015" s="26" t="n"/>
      <c r="K1015" s="26" t="n"/>
      <c r="L1015" s="26" t="inlineStr">
        <is>
          <t>/OPE/USLC</t>
        </is>
      </c>
      <c r="M1015" s="26" t="n"/>
      <c r="N1015" s="26" t="n"/>
      <c r="O1015" s="26" t="n"/>
      <c r="P1015" s="26" t="n"/>
      <c r="Q1015" s="26" t="n"/>
      <c r="R1015" s="26" t="n"/>
      <c r="S1015" s="26" t="n"/>
      <c r="T1015" s="26" t="n"/>
      <c r="U1015" s="26" t="n"/>
      <c r="V1015" s="26" t="inlineStr">
        <is>
          <t>POST</t>
        </is>
      </c>
      <c r="W1015" s="26" t="n"/>
      <c r="X1015" s="26" t="n"/>
    </row>
    <row r="1016">
      <c r="A1016" s="26" t="n"/>
      <c r="B1016" s="26" t="n"/>
      <c r="C1016" s="26" t="inlineStr">
        <is>
          <t>OPE</t>
        </is>
      </c>
      <c r="D1016" s="26" t="inlineStr">
        <is>
          <t>OPE</t>
        </is>
      </c>
      <c r="E1016" s="26" t="inlineStr">
        <is>
          <t>Line Beam Load</t>
        </is>
      </c>
      <c r="F1016" s="26" t="n"/>
      <c r="G1016" s="26" t="n"/>
      <c r="H1016" s="26" t="inlineStr">
        <is>
          <t>OPE</t>
        </is>
      </c>
      <c r="I1016" s="26" t="inlineStr">
        <is>
          <t>LINEBMLD</t>
        </is>
      </c>
      <c r="J1016" s="26" t="n"/>
      <c r="K1016" s="26" t="n"/>
      <c r="L1016" s="26" t="inlineStr">
        <is>
          <t>/OPE/LINEBMLD</t>
        </is>
      </c>
      <c r="M1016" s="26" t="n"/>
      <c r="N1016" s="26" t="n"/>
      <c r="O1016" s="26" t="n"/>
      <c r="P1016" s="26" t="n"/>
      <c r="Q1016" s="26" t="n"/>
      <c r="R1016" s="26" t="n"/>
      <c r="S1016" s="26" t="n"/>
      <c r="T1016" s="26" t="n"/>
      <c r="U1016" s="26" t="n"/>
      <c r="V1016" s="26" t="inlineStr">
        <is>
          <t>POST</t>
        </is>
      </c>
      <c r="W1016" s="26" t="n"/>
      <c r="X1016" s="26" t="n"/>
    </row>
    <row r="1017">
      <c r="A1017" s="26" t="n"/>
      <c r="B1017" s="26" t="n"/>
      <c r="C1017" s="26" t="inlineStr">
        <is>
          <t>OPE</t>
        </is>
      </c>
      <c r="D1017" s="26" t="inlineStr">
        <is>
          <t>OPE</t>
        </is>
      </c>
      <c r="E1017" s="26" t="inlineStr">
        <is>
          <t>Auto-Mesh Planar Area</t>
        </is>
      </c>
      <c r="F1017" s="26" t="n"/>
      <c r="G1017" s="26" t="n"/>
      <c r="H1017" s="26" t="inlineStr">
        <is>
          <t>OPE</t>
        </is>
      </c>
      <c r="I1017" s="26" t="inlineStr">
        <is>
          <t>AUTOMESH</t>
        </is>
      </c>
      <c r="J1017" s="26" t="n"/>
      <c r="K1017" s="26" t="n"/>
      <c r="L1017" s="26" t="inlineStr">
        <is>
          <t>/OPE/AUTOMESH</t>
        </is>
      </c>
      <c r="M1017" s="26" t="n"/>
      <c r="N1017" s="26" t="n"/>
      <c r="O1017" s="26" t="n"/>
      <c r="P1017" s="26" t="n"/>
      <c r="Q1017" s="26" t="n"/>
      <c r="R1017" s="26" t="n"/>
      <c r="S1017" s="26" t="n"/>
      <c r="T1017" s="26" t="n"/>
      <c r="U1017" s="26" t="n"/>
      <c r="V1017" s="26" t="inlineStr">
        <is>
          <t>POST</t>
        </is>
      </c>
      <c r="W1017" s="26" t="n"/>
      <c r="X1017" s="26" t="n"/>
    </row>
    <row r="1018">
      <c r="A1018" s="26" t="n"/>
      <c r="B1018" s="26" t="n"/>
      <c r="C1018" s="26" t="inlineStr">
        <is>
          <t>OPE</t>
        </is>
      </c>
      <c r="D1018" s="26" t="inlineStr">
        <is>
          <t>OPE</t>
        </is>
      </c>
      <c r="E1018" s="26" t="n"/>
      <c r="F1018" s="26" t="n"/>
      <c r="G1018" s="26" t="n"/>
      <c r="H1018" s="26" t="inlineStr">
        <is>
          <t>OPE</t>
        </is>
      </c>
      <c r="I1018" s="26" t="inlineStr">
        <is>
          <t>BOM</t>
        </is>
      </c>
      <c r="J1018" s="26" t="n"/>
      <c r="K1018" s="26" t="n"/>
      <c r="L1018" s="26" t="inlineStr">
        <is>
          <t>/OPE/BOM</t>
        </is>
      </c>
      <c r="M1018" s="26" t="n"/>
      <c r="N1018" s="26" t="n"/>
      <c r="O1018" s="26" t="n"/>
      <c r="P1018" s="26" t="n"/>
      <c r="Q1018" s="26" t="n"/>
      <c r="R1018" s="26" t="n"/>
      <c r="S1018" s="26" t="n"/>
      <c r="T1018" s="26" t="n"/>
      <c r="U1018" s="26" t="n"/>
      <c r="V1018" s="26" t="inlineStr">
        <is>
          <t>POST</t>
        </is>
      </c>
      <c r="W1018" s="26" t="n"/>
      <c r="X1018" s="26" t="n"/>
    </row>
    <row r="1019">
      <c r="A1019" s="26" t="n"/>
      <c r="B1019" s="26" t="n"/>
      <c r="C1019" s="26" t="inlineStr">
        <is>
          <t>OPE</t>
        </is>
      </c>
      <c r="D1019" s="26" t="inlineStr">
        <is>
          <t>OPE</t>
        </is>
      </c>
      <c r="E1019" s="26" t="inlineStr">
        <is>
          <t>Surface Spring</t>
        </is>
      </c>
      <c r="F1019" s="26" t="n"/>
      <c r="G1019" s="26" t="n"/>
      <c r="H1019" s="26" t="inlineStr">
        <is>
          <t>OPE</t>
        </is>
      </c>
      <c r="I1019" s="26" t="inlineStr">
        <is>
          <t>SSPS</t>
        </is>
      </c>
      <c r="J1019" s="26" t="n"/>
      <c r="K1019" s="26" t="n"/>
      <c r="L1019" s="26" t="inlineStr">
        <is>
          <t>/OPE/SSPS</t>
        </is>
      </c>
      <c r="M1019" s="26" t="n"/>
      <c r="N1019" s="26" t="n"/>
      <c r="O1019" s="26" t="n"/>
      <c r="P1019" s="26" t="n"/>
      <c r="Q1019" s="26" t="n"/>
      <c r="R1019" s="26" t="n"/>
      <c r="S1019" s="26" t="n"/>
      <c r="T1019" s="26" t="n"/>
      <c r="U1019" s="26" t="n"/>
      <c r="V1019" s="26" t="inlineStr">
        <is>
          <t>POST</t>
        </is>
      </c>
      <c r="W1019" s="26" t="n"/>
      <c r="X1019" s="26" t="n"/>
    </row>
    <row r="1020">
      <c r="A1020" s="26" t="n"/>
      <c r="B1020" s="26" t="n"/>
      <c r="C1020" s="26" t="inlineStr">
        <is>
          <t>OPE</t>
        </is>
      </c>
      <c r="D1020" s="26" t="inlineStr">
        <is>
          <t>OPE</t>
        </is>
      </c>
      <c r="E1020" s="26" t="inlineStr">
        <is>
          <t>Change Property</t>
        </is>
      </c>
      <c r="F1020" s="26" t="n"/>
      <c r="G1020" s="26" t="n"/>
      <c r="H1020" s="26" t="inlineStr">
        <is>
          <t>OPE</t>
        </is>
      </c>
      <c r="I1020" s="26" t="inlineStr">
        <is>
          <t>EDMP</t>
        </is>
      </c>
      <c r="J1020" s="26" t="n"/>
      <c r="K1020" s="26" t="n"/>
      <c r="L1020" s="26" t="inlineStr">
        <is>
          <t>/OPE/EDMP</t>
        </is>
      </c>
      <c r="M1020" s="26" t="n"/>
      <c r="N1020" s="26" t="n"/>
      <c r="O1020" s="26" t="n"/>
      <c r="P1020" s="26" t="n"/>
      <c r="Q1020" s="26" t="n"/>
      <c r="R1020" s="26" t="n"/>
      <c r="S1020" s="26" t="n"/>
      <c r="T1020" s="26" t="n"/>
      <c r="U1020" s="26" t="n"/>
      <c r="V1020" s="26" t="inlineStr">
        <is>
          <t>POST</t>
        </is>
      </c>
      <c r="W1020" s="26" t="n"/>
      <c r="X1020" s="26" t="n"/>
    </row>
    <row r="1021">
      <c r="A1021" s="26" t="n"/>
      <c r="B1021" s="26" t="n"/>
      <c r="C1021" s="26" t="inlineStr">
        <is>
          <t>OPE</t>
        </is>
      </c>
      <c r="D1021" s="26" t="inlineStr">
        <is>
          <t>OPE</t>
        </is>
      </c>
      <c r="E1021" s="26" t="n"/>
      <c r="F1021" s="26" t="n"/>
      <c r="G1021" s="26" t="n"/>
      <c r="H1021" s="26" t="inlineStr">
        <is>
          <t>OPE</t>
        </is>
      </c>
      <c r="I1021" s="26" t="inlineStr">
        <is>
          <t>ELEMPAR</t>
        </is>
      </c>
      <c r="J1021" s="26" t="n"/>
      <c r="K1021" s="26" t="n"/>
      <c r="L1021" s="26" t="inlineStr">
        <is>
          <t>/OPE/ELEMPAR</t>
        </is>
      </c>
      <c r="M1021" s="26" t="n"/>
      <c r="N1021" s="26" t="n"/>
      <c r="O1021" s="26" t="n"/>
      <c r="P1021" s="26" t="n"/>
      <c r="Q1021" s="26" t="n"/>
      <c r="R1021" s="26" t="n"/>
      <c r="S1021" s="26" t="n"/>
      <c r="T1021" s="26" t="n"/>
      <c r="U1021" s="26" t="n"/>
      <c r="V1021" s="26" t="inlineStr">
        <is>
          <t>POST</t>
        </is>
      </c>
      <c r="W1021" s="26" t="n"/>
      <c r="X1021" s="26" t="n"/>
    </row>
    <row r="1022">
      <c r="A1022" s="26" t="n"/>
      <c r="B1022" s="26" t="n"/>
      <c r="C1022" s="26" t="inlineStr">
        <is>
          <t>OPE</t>
        </is>
      </c>
      <c r="D1022" s="26" t="inlineStr">
        <is>
          <t>OPE</t>
        </is>
      </c>
      <c r="E1022" s="26" t="n"/>
      <c r="F1022" s="26" t="n"/>
      <c r="G1022" s="26" t="n"/>
      <c r="H1022" s="26" t="inlineStr">
        <is>
          <t>OPE</t>
        </is>
      </c>
      <c r="I1022" s="26" t="inlineStr">
        <is>
          <t>ELEMTDNT</t>
        </is>
      </c>
      <c r="J1022" s="26" t="n"/>
      <c r="K1022" s="26" t="n"/>
      <c r="L1022" s="26" t="inlineStr">
        <is>
          <t>/OPE/ELEMTDNT</t>
        </is>
      </c>
      <c r="M1022" s="26" t="n"/>
      <c r="N1022" s="26" t="n"/>
      <c r="O1022" s="26" t="n"/>
      <c r="P1022" s="26" t="n"/>
      <c r="Q1022" s="26" t="n"/>
      <c r="R1022" s="26" t="n"/>
      <c r="S1022" s="26" t="n"/>
      <c r="T1022" s="26" t="n"/>
      <c r="U1022" s="26" t="n"/>
      <c r="V1022" s="26" t="inlineStr">
        <is>
          <t>POST</t>
        </is>
      </c>
      <c r="W1022" s="26" t="n"/>
      <c r="X1022" s="26" t="n"/>
    </row>
    <row r="1023">
      <c r="A1023" s="26" t="n"/>
      <c r="B1023" s="26" t="n"/>
      <c r="C1023" s="26" t="inlineStr">
        <is>
          <t>OPE</t>
        </is>
      </c>
      <c r="D1023" s="26" t="inlineStr">
        <is>
          <t>OPE</t>
        </is>
      </c>
      <c r="E1023" s="26" t="n"/>
      <c r="F1023" s="26" t="n"/>
      <c r="G1023" s="26" t="n"/>
      <c r="H1023" s="26" t="inlineStr">
        <is>
          <t>OPE</t>
        </is>
      </c>
      <c r="I1023" s="26" t="inlineStr">
        <is>
          <t>MATL_DB</t>
        </is>
      </c>
      <c r="J1023" s="26" t="inlineStr">
        <is>
          <t>{TYPE or STANDARD}</t>
        </is>
      </c>
      <c r="K1023" s="26" t="n"/>
      <c r="L1023" s="26" t="inlineStr">
        <is>
          <t>/OPE/MATL_DB/{TYPE or STANDARD}</t>
        </is>
      </c>
      <c r="M1023" s="26" t="n"/>
      <c r="N1023" s="26" t="n"/>
      <c r="O1023" s="26" t="n"/>
      <c r="P1023" s="26" t="n"/>
      <c r="Q1023" s="26" t="n"/>
      <c r="R1023" s="26" t="n"/>
      <c r="S1023" s="26" t="n"/>
      <c r="T1023" s="26" t="n"/>
      <c r="U1023" s="26" t="n"/>
      <c r="V1023" s="26" t="inlineStr">
        <is>
          <t>GET</t>
        </is>
      </c>
      <c r="W1023" s="26" t="n"/>
      <c r="X1023" s="26" t="n"/>
    </row>
    <row r="1024">
      <c r="A1024" s="26" t="n"/>
      <c r="B1024" s="26" t="n"/>
      <c r="C1024" s="26" t="inlineStr">
        <is>
          <t>OPE</t>
        </is>
      </c>
      <c r="D1024" s="26" t="inlineStr">
        <is>
          <t>OPE</t>
        </is>
      </c>
      <c r="E1024" s="26" t="n"/>
      <c r="F1024" s="26" t="n"/>
      <c r="G1024" s="26" t="n"/>
      <c r="H1024" s="26" t="inlineStr">
        <is>
          <t>OPE</t>
        </is>
      </c>
      <c r="I1024" s="26" t="inlineStr">
        <is>
          <t>MATL_STANDARD</t>
        </is>
      </c>
      <c r="J1024" s="26" t="inlineStr">
        <is>
          <t>{TYPE}</t>
        </is>
      </c>
      <c r="K1024" s="26" t="n"/>
      <c r="L1024" s="26" t="inlineStr">
        <is>
          <t>/OPE/MATL_STANDARD/{TYPE}</t>
        </is>
      </c>
      <c r="M1024" s="26" t="n"/>
      <c r="N1024" s="26" t="n"/>
      <c r="O1024" s="26" t="n"/>
      <c r="P1024" s="26" t="n"/>
      <c r="Q1024" s="26" t="n"/>
      <c r="R1024" s="26" t="n"/>
      <c r="S1024" s="26" t="n"/>
      <c r="T1024" s="26" t="n"/>
      <c r="U1024" s="26" t="n"/>
      <c r="V1024" s="26" t="inlineStr">
        <is>
          <t>GET</t>
        </is>
      </c>
      <c r="W1024" s="26" t="n"/>
      <c r="X1024" s="26" t="n"/>
    </row>
    <row r="1025">
      <c r="A1025" s="26" t="n"/>
      <c r="B1025" s="26" t="n"/>
      <c r="C1025" s="26" t="inlineStr">
        <is>
          <t>OPE</t>
        </is>
      </c>
      <c r="D1025" s="26" t="inlineStr">
        <is>
          <t>OPE</t>
        </is>
      </c>
      <c r="E1025" s="26" t="inlineStr">
        <is>
          <t>Member Assignment</t>
        </is>
      </c>
      <c r="F1025" s="26" t="n"/>
      <c r="G1025" s="26" t="n"/>
      <c r="H1025" s="26" t="inlineStr">
        <is>
          <t>OPE</t>
        </is>
      </c>
      <c r="I1025" s="26" t="inlineStr">
        <is>
          <t>MEMB</t>
        </is>
      </c>
      <c r="J1025" s="26" t="n"/>
      <c r="K1025" s="26" t="n"/>
      <c r="L1025" s="26" t="inlineStr">
        <is>
          <t>/OPE/MEMB</t>
        </is>
      </c>
      <c r="M1025" s="26" t="n"/>
      <c r="N1025" s="26" t="n"/>
      <c r="O1025" s="26" t="n"/>
      <c r="P1025" s="26" t="n"/>
      <c r="Q1025" s="26" t="n"/>
      <c r="R1025" s="26" t="n"/>
      <c r="S1025" s="26" t="n"/>
      <c r="T1025" s="26" t="n"/>
      <c r="U1025" s="26" t="n"/>
      <c r="V1025" s="26" t="inlineStr">
        <is>
          <t>POST</t>
        </is>
      </c>
      <c r="W1025" s="26" t="n"/>
      <c r="X1025" s="26" t="n"/>
    </row>
    <row r="1026">
      <c r="A1026" s="26" t="n"/>
      <c r="B1026" s="26" t="n"/>
      <c r="C1026" s="26" t="inlineStr">
        <is>
          <t>OPE</t>
        </is>
      </c>
      <c r="D1026" s="26" t="inlineStr">
        <is>
          <t>OPE</t>
        </is>
      </c>
      <c r="E1026" s="26" t="n"/>
      <c r="F1026" s="26" t="n"/>
      <c r="G1026" s="26" t="n"/>
      <c r="H1026" s="26" t="inlineStr">
        <is>
          <t>OPE</t>
        </is>
      </c>
      <c r="I1026" s="26" t="inlineStr">
        <is>
          <t>MODALDAMPINGRATIO</t>
        </is>
      </c>
      <c r="J1026" s="26" t="n"/>
      <c r="K1026" s="26" t="n"/>
      <c r="L1026" s="26" t="inlineStr">
        <is>
          <t>/OPE/MODALDAMPINGRATIO</t>
        </is>
      </c>
      <c r="M1026" s="26" t="n"/>
      <c r="N1026" s="26" t="n"/>
      <c r="O1026" s="26" t="n"/>
      <c r="P1026" s="26" t="n"/>
      <c r="Q1026" s="26" t="n"/>
      <c r="R1026" s="26" t="n"/>
      <c r="S1026" s="26" t="n"/>
      <c r="T1026" s="26" t="n"/>
      <c r="U1026" s="26" t="n"/>
      <c r="V1026" s="26" t="inlineStr">
        <is>
          <t>POST</t>
        </is>
      </c>
      <c r="W1026" s="26" t="n"/>
      <c r="X1026" s="26" t="n"/>
    </row>
    <row r="1027">
      <c r="A1027" s="26" t="n"/>
      <c r="B1027" s="26" t="n"/>
      <c r="C1027" s="26" t="inlineStr">
        <is>
          <t>OPE</t>
        </is>
      </c>
      <c r="D1027" s="26" t="inlineStr">
        <is>
          <t>OPE</t>
        </is>
      </c>
      <c r="E1027" s="26" t="n"/>
      <c r="F1027" s="26" t="n"/>
      <c r="G1027" s="26" t="n"/>
      <c r="H1027" s="26" t="inlineStr">
        <is>
          <t>OPE</t>
        </is>
      </c>
      <c r="I1027" s="26" t="inlineStr">
        <is>
          <t>MXTCMDSHELL</t>
        </is>
      </c>
      <c r="J1027" s="26" t="n"/>
      <c r="K1027" s="26" t="n"/>
      <c r="L1027" s="26" t="inlineStr">
        <is>
          <t>/OPE/MXTCMDSHELL</t>
        </is>
      </c>
      <c r="M1027" s="26" t="n"/>
      <c r="N1027" s="26" t="n"/>
      <c r="O1027" s="26" t="n"/>
      <c r="P1027" s="26" t="n"/>
      <c r="Q1027" s="26" t="n"/>
      <c r="R1027" s="26" t="n"/>
      <c r="S1027" s="26" t="n"/>
      <c r="T1027" s="26" t="n"/>
      <c r="U1027" s="26" t="n"/>
      <c r="V1027" s="26" t="inlineStr">
        <is>
          <t>POST</t>
        </is>
      </c>
      <c r="W1027" s="26" t="n"/>
      <c r="X1027" s="26" t="n"/>
    </row>
    <row r="1028">
      <c r="A1028" s="26" t="n"/>
      <c r="B1028" s="26" t="n"/>
      <c r="C1028" s="26" t="inlineStr">
        <is>
          <t>OPE</t>
        </is>
      </c>
      <c r="D1028" s="26" t="inlineStr">
        <is>
          <t>OPE</t>
        </is>
      </c>
      <c r="E1028" s="26" t="n"/>
      <c r="F1028" s="26" t="n"/>
      <c r="G1028" s="26" t="n"/>
      <c r="H1028" s="26" t="inlineStr">
        <is>
          <t>OPE</t>
        </is>
      </c>
      <c r="I1028" s="26" t="inlineStr">
        <is>
          <t>MXTCMDSHELL</t>
        </is>
      </c>
      <c r="J1028" s="26" t="inlineStr">
        <is>
          <t>{CMD}</t>
        </is>
      </c>
      <c r="K1028" s="26" t="n"/>
      <c r="L1028" s="26" t="inlineStr">
        <is>
          <t>/OPE/MXTCMDSHELL/{CMD}</t>
        </is>
      </c>
      <c r="M1028" s="26" t="n"/>
      <c r="N1028" s="26" t="n"/>
      <c r="O1028" s="26" t="n"/>
      <c r="P1028" s="26" t="n"/>
      <c r="Q1028" s="26" t="n"/>
      <c r="R1028" s="26" t="n"/>
      <c r="S1028" s="26" t="n"/>
      <c r="T1028" s="26" t="n"/>
      <c r="U1028" s="26" t="n"/>
      <c r="V1028" s="26" t="inlineStr">
        <is>
          <t>GET</t>
        </is>
      </c>
      <c r="W1028" s="26" t="n"/>
      <c r="X1028" s="26" t="n"/>
    </row>
    <row r="1029">
      <c r="A1029" s="26" t="n"/>
      <c r="B1029" s="26" t="n"/>
      <c r="C1029" s="26" t="inlineStr">
        <is>
          <t>OPE</t>
        </is>
      </c>
      <c r="D1029" s="26" t="inlineStr">
        <is>
          <t>OPE</t>
        </is>
      </c>
      <c r="E1029" s="26" t="n"/>
      <c r="F1029" s="26" t="n"/>
      <c r="G1029" s="26" t="n"/>
      <c r="H1029" s="26" t="inlineStr">
        <is>
          <t>OPE</t>
        </is>
      </c>
      <c r="I1029" s="26" t="inlineStr">
        <is>
          <t>MXTINFO</t>
        </is>
      </c>
      <c r="J1029" s="26" t="n"/>
      <c r="K1029" s="26" t="n"/>
      <c r="L1029" s="26" t="inlineStr">
        <is>
          <t>/OPE/MXTINFO</t>
        </is>
      </c>
      <c r="M1029" s="26" t="n"/>
      <c r="N1029" s="26" t="n"/>
      <c r="O1029" s="26" t="n"/>
      <c r="P1029" s="26" t="n"/>
      <c r="Q1029" s="26" t="n"/>
      <c r="R1029" s="26" t="n"/>
      <c r="S1029" s="26" t="n"/>
      <c r="T1029" s="26" t="n"/>
      <c r="U1029" s="26" t="n"/>
      <c r="V1029" s="26" t="inlineStr">
        <is>
          <t>GET</t>
        </is>
      </c>
      <c r="W1029" s="26" t="n"/>
      <c r="X1029" s="26" t="n"/>
    </row>
    <row r="1030">
      <c r="A1030" s="26" t="n"/>
      <c r="B1030" s="26" t="n"/>
      <c r="C1030" s="26" t="inlineStr">
        <is>
          <t>OPE</t>
        </is>
      </c>
      <c r="D1030" s="26" t="inlineStr">
        <is>
          <t>OPE</t>
        </is>
      </c>
      <c r="E1030" s="26" t="n"/>
      <c r="F1030" s="26" t="n"/>
      <c r="G1030" s="26" t="n"/>
      <c r="H1030" s="26" t="inlineStr">
        <is>
          <t>OPE</t>
        </is>
      </c>
      <c r="I1030" s="26" t="inlineStr">
        <is>
          <t>PLATE_DECK</t>
        </is>
      </c>
      <c r="J1030" s="26" t="n"/>
      <c r="K1030" s="26" t="n"/>
      <c r="L1030" s="26" t="inlineStr">
        <is>
          <t>/OPE/PLATE_DECK</t>
        </is>
      </c>
      <c r="M1030" s="26" t="n"/>
      <c r="N1030" s="26" t="n"/>
      <c r="O1030" s="26" t="n"/>
      <c r="P1030" s="26" t="n"/>
      <c r="Q1030" s="26" t="n"/>
      <c r="R1030" s="26" t="n"/>
      <c r="S1030" s="26" t="n"/>
      <c r="T1030" s="26" t="n"/>
      <c r="U1030" s="26" t="n"/>
      <c r="V1030" s="26" t="inlineStr">
        <is>
          <t>POST</t>
        </is>
      </c>
      <c r="W1030" s="26" t="n"/>
      <c r="X1030" s="26" t="n"/>
    </row>
    <row r="1031">
      <c r="A1031" s="26" t="n"/>
      <c r="B1031" s="26" t="n"/>
      <c r="C1031" s="26" t="inlineStr">
        <is>
          <t>OPE</t>
        </is>
      </c>
      <c r="D1031" s="26" t="inlineStr">
        <is>
          <t>OPE</t>
        </is>
      </c>
      <c r="E1031" s="26" t="n"/>
      <c r="F1031" s="26" t="n"/>
      <c r="G1031" s="26" t="n"/>
      <c r="H1031" s="26" t="inlineStr">
        <is>
          <t>OPE</t>
        </is>
      </c>
      <c r="I1031" s="26" t="inlineStr">
        <is>
          <t>POSP</t>
        </is>
      </c>
      <c r="J1031" s="26" t="n"/>
      <c r="K1031" s="26" t="n"/>
      <c r="L1031" s="26" t="inlineStr">
        <is>
          <t>/OPE/POSP</t>
        </is>
      </c>
      <c r="M1031" s="26" t="n"/>
      <c r="N1031" s="26" t="n"/>
      <c r="O1031" s="26" t="n"/>
      <c r="P1031" s="26" t="n"/>
      <c r="Q1031" s="26" t="n"/>
      <c r="R1031" s="26" t="n"/>
      <c r="S1031" s="26" t="n"/>
      <c r="T1031" s="26" t="n"/>
      <c r="U1031" s="26" t="n"/>
      <c r="V1031" s="26" t="inlineStr">
        <is>
          <t>POST</t>
        </is>
      </c>
      <c r="W1031" s="26" t="n"/>
      <c r="X1031" s="26" t="n"/>
    </row>
    <row r="1032">
      <c r="A1032" s="26" t="n"/>
      <c r="B1032" s="26" t="n"/>
      <c r="C1032" s="26" t="inlineStr">
        <is>
          <t>OPE</t>
        </is>
      </c>
      <c r="D1032" s="26" t="inlineStr">
        <is>
          <t>OPE</t>
        </is>
      </c>
      <c r="E1032" s="26" t="n"/>
      <c r="F1032" s="26" t="n"/>
      <c r="G1032" s="26" t="n"/>
      <c r="H1032" s="26" t="inlineStr">
        <is>
          <t>OPE</t>
        </is>
      </c>
      <c r="I1032" s="26" t="inlineStr">
        <is>
          <t>SECT_DBNAME</t>
        </is>
      </c>
      <c r="J1032" s="26" t="inlineStr">
        <is>
          <t>{shape}</t>
        </is>
      </c>
      <c r="K1032" s="26" t="n"/>
      <c r="L1032" s="26" t="inlineStr">
        <is>
          <t>/OPE/SECT_DBNAME/{shape}</t>
        </is>
      </c>
      <c r="M1032" s="26" t="n"/>
      <c r="N1032" s="26" t="n"/>
      <c r="O1032" s="26" t="n"/>
      <c r="P1032" s="26" t="n"/>
      <c r="Q1032" s="26" t="n"/>
      <c r="R1032" s="26" t="n"/>
      <c r="S1032" s="26" t="n"/>
      <c r="T1032" s="26" t="n"/>
      <c r="U1032" s="26" t="n"/>
      <c r="V1032" s="26" t="inlineStr">
        <is>
          <t>GET</t>
        </is>
      </c>
      <c r="W1032" s="26" t="n"/>
      <c r="X1032" s="26" t="n"/>
    </row>
    <row r="1033">
      <c r="A1033" s="26" t="n"/>
      <c r="B1033" s="26" t="n"/>
      <c r="C1033" s="26" t="inlineStr">
        <is>
          <t>OPE</t>
        </is>
      </c>
      <c r="D1033" s="26" t="inlineStr">
        <is>
          <t>OPE</t>
        </is>
      </c>
      <c r="E1033" s="26" t="n"/>
      <c r="F1033" s="26" t="n"/>
      <c r="G1033" s="26" t="n"/>
      <c r="H1033" s="26" t="inlineStr">
        <is>
          <t>OPE</t>
        </is>
      </c>
      <c r="I1033" s="26" t="inlineStr">
        <is>
          <t>SECT_SHAPE</t>
        </is>
      </c>
      <c r="J1033" s="26" t="inlineStr">
        <is>
          <t>{opt}</t>
        </is>
      </c>
      <c r="K1033" s="26" t="n"/>
      <c r="L1033" s="26" t="inlineStr">
        <is>
          <t>/OPE/SECT_SHAPE/{opt}</t>
        </is>
      </c>
      <c r="M1033" s="26" t="n"/>
      <c r="N1033" s="26" t="n"/>
      <c r="O1033" s="26" t="n"/>
      <c r="P1033" s="26" t="n"/>
      <c r="Q1033" s="26" t="n"/>
      <c r="R1033" s="26" t="n"/>
      <c r="S1033" s="26" t="n"/>
      <c r="T1033" s="26" t="n"/>
      <c r="U1033" s="26" t="n"/>
      <c r="V1033" s="26" t="inlineStr">
        <is>
          <t>GET</t>
        </is>
      </c>
      <c r="W1033" s="26" t="n"/>
      <c r="X1033" s="26" t="n"/>
    </row>
    <row r="1034">
      <c r="A1034" s="26" t="n"/>
      <c r="B1034" s="26" t="n"/>
      <c r="C1034" s="26" t="inlineStr">
        <is>
          <t>OPE</t>
        </is>
      </c>
      <c r="D1034" s="26" t="inlineStr">
        <is>
          <t>OPE</t>
        </is>
      </c>
      <c r="E1034" s="26" t="n"/>
      <c r="F1034" s="26" t="n"/>
      <c r="G1034" s="26" t="n"/>
      <c r="H1034" s="26" t="inlineStr">
        <is>
          <t>OPE</t>
        </is>
      </c>
      <c r="I1034" s="26" t="inlineStr">
        <is>
          <t>SMARTGRAPHVALUE</t>
        </is>
      </c>
      <c r="J1034" s="26" t="n"/>
      <c r="K1034" s="26" t="n"/>
      <c r="L1034" s="26" t="inlineStr">
        <is>
          <t>/OPE/SMARTGRAPHVALUE</t>
        </is>
      </c>
      <c r="M1034" s="26" t="n"/>
      <c r="N1034" s="26" t="n"/>
      <c r="O1034" s="26" t="n"/>
      <c r="P1034" s="26" t="n"/>
      <c r="Q1034" s="26" t="n"/>
      <c r="R1034" s="26" t="n"/>
      <c r="S1034" s="26" t="n"/>
      <c r="T1034" s="26" t="n"/>
      <c r="U1034" s="26" t="n"/>
      <c r="V1034" s="26" t="inlineStr">
        <is>
          <t>POST</t>
        </is>
      </c>
      <c r="W1034" s="26" t="n"/>
      <c r="X1034" s="26" t="n"/>
    </row>
    <row r="1035">
      <c r="A1035" s="26" t="n"/>
      <c r="B1035" s="26" t="n"/>
      <c r="C1035" s="26" t="inlineStr">
        <is>
          <t>OPE</t>
        </is>
      </c>
      <c r="D1035" s="26" t="inlineStr">
        <is>
          <t>OPE</t>
        </is>
      </c>
      <c r="E1035" s="26" t="n"/>
      <c r="F1035" s="26" t="n"/>
      <c r="G1035" s="26" t="n"/>
      <c r="H1035" s="26" t="inlineStr">
        <is>
          <t>OPE</t>
        </is>
      </c>
      <c r="I1035" s="26" t="inlineStr">
        <is>
          <t>SWPCGIRDER_DLG</t>
        </is>
      </c>
      <c r="J1035" s="26" t="n"/>
      <c r="K1035" s="26" t="n"/>
      <c r="L1035" s="26" t="inlineStr">
        <is>
          <t>/OPE/SWPCGIRDER_DLG</t>
        </is>
      </c>
      <c r="M1035" s="26" t="n"/>
      <c r="N1035" s="26" t="n"/>
      <c r="O1035" s="26" t="n"/>
      <c r="P1035" s="26" t="n"/>
      <c r="Q1035" s="26" t="n"/>
      <c r="R1035" s="26" t="n"/>
      <c r="S1035" s="26" t="n"/>
      <c r="T1035" s="26" t="n"/>
      <c r="U1035" s="26" t="n"/>
      <c r="V1035" s="26" t="inlineStr">
        <is>
          <t>POST</t>
        </is>
      </c>
      <c r="W1035" s="26" t="n"/>
      <c r="X1035" s="26" t="n"/>
    </row>
    <row r="1036">
      <c r="A1036" s="26" t="n"/>
      <c r="B1036" s="26" t="n"/>
      <c r="C1036" s="26" t="inlineStr">
        <is>
          <t>OPE</t>
        </is>
      </c>
      <c r="D1036" s="26" t="inlineStr">
        <is>
          <t>OPE</t>
        </is>
      </c>
      <c r="E1036" s="26" t="n"/>
      <c r="F1036" s="26" t="n"/>
      <c r="G1036" s="26" t="n"/>
      <c r="H1036" s="26" t="inlineStr">
        <is>
          <t>OPE</t>
        </is>
      </c>
      <c r="I1036" s="26" t="inlineStr">
        <is>
          <t>TEMP_TABLETYPE</t>
        </is>
      </c>
      <c r="J1036" s="26" t="n"/>
      <c r="K1036" s="26" t="n"/>
      <c r="L1036" s="26" t="inlineStr">
        <is>
          <t>/OPE/TEMP_TABLETYPE</t>
        </is>
      </c>
      <c r="M1036" s="26" t="n"/>
      <c r="N1036" s="26" t="n"/>
      <c r="O1036" s="26" t="n"/>
      <c r="P1036" s="26" t="n"/>
      <c r="Q1036" s="26" t="n"/>
      <c r="R1036" s="26" t="n"/>
      <c r="S1036" s="26" t="n"/>
      <c r="T1036" s="26" t="n"/>
      <c r="U1036" s="26" t="n"/>
      <c r="V1036" s="26" t="inlineStr">
        <is>
          <t>GET</t>
        </is>
      </c>
      <c r="W1036" s="26" t="n"/>
      <c r="X1036" s="26" t="n"/>
    </row>
    <row r="1037">
      <c r="A1037" s="26" t="n"/>
      <c r="B1037" s="26" t="n"/>
      <c r="C1037" s="26" t="inlineStr">
        <is>
          <t>OPE</t>
        </is>
      </c>
      <c r="D1037" s="26" t="inlineStr">
        <is>
          <t>OPE</t>
        </is>
      </c>
      <c r="E1037" s="26" t="n"/>
      <c r="F1037" s="26" t="n"/>
      <c r="G1037" s="26" t="n"/>
      <c r="H1037" s="26" t="inlineStr">
        <is>
          <t>OPE</t>
        </is>
      </c>
      <c r="I1037" s="26" t="inlineStr">
        <is>
          <t>TRANSACTION-CANCEL</t>
        </is>
      </c>
      <c r="J1037" s="26" t="n"/>
      <c r="K1037" s="26" t="n"/>
      <c r="L1037" s="26" t="inlineStr">
        <is>
          <t>/OPE/TRANSACTION-CANCEL</t>
        </is>
      </c>
      <c r="M1037" s="26" t="n"/>
      <c r="N1037" s="26" t="n"/>
      <c r="O1037" s="26" t="n"/>
      <c r="P1037" s="26" t="n"/>
      <c r="Q1037" s="26" t="n"/>
      <c r="R1037" s="26" t="n"/>
      <c r="S1037" s="26" t="n"/>
      <c r="T1037" s="26" t="n"/>
      <c r="U1037" s="26" t="n"/>
      <c r="V1037" s="26" t="inlineStr">
        <is>
          <t>POST</t>
        </is>
      </c>
      <c r="W1037" s="26" t="n"/>
      <c r="X1037" s="26" t="n"/>
    </row>
    <row r="1038">
      <c r="A1038" s="26" t="n"/>
      <c r="B1038" s="26" t="n"/>
      <c r="C1038" s="26" t="inlineStr">
        <is>
          <t>OPE</t>
        </is>
      </c>
      <c r="D1038" s="26" t="inlineStr">
        <is>
          <t>OPE</t>
        </is>
      </c>
      <c r="E1038" s="26" t="n"/>
      <c r="F1038" s="26" t="n"/>
      <c r="G1038" s="26" t="n"/>
      <c r="H1038" s="26" t="inlineStr">
        <is>
          <t>OPE</t>
        </is>
      </c>
      <c r="I1038" s="26" t="inlineStr">
        <is>
          <t>TRANSACTION-CLOSE</t>
        </is>
      </c>
      <c r="J1038" s="26" t="n"/>
      <c r="K1038" s="26" t="n"/>
      <c r="L1038" s="26" t="inlineStr">
        <is>
          <t>/OPE/TRANSACTION-CLOSE</t>
        </is>
      </c>
      <c r="M1038" s="26" t="n"/>
      <c r="N1038" s="26" t="n"/>
      <c r="O1038" s="26" t="n"/>
      <c r="P1038" s="26" t="n"/>
      <c r="Q1038" s="26" t="n"/>
      <c r="R1038" s="26" t="n"/>
      <c r="S1038" s="26" t="n"/>
      <c r="T1038" s="26" t="n"/>
      <c r="U1038" s="26" t="n"/>
      <c r="V1038" s="26" t="inlineStr">
        <is>
          <t>POST</t>
        </is>
      </c>
      <c r="W1038" s="26" t="n"/>
      <c r="X1038" s="26" t="n"/>
    </row>
    <row r="1039">
      <c r="A1039" s="26" t="n"/>
      <c r="B1039" s="26" t="n"/>
      <c r="C1039" s="26" t="inlineStr">
        <is>
          <t>OPE</t>
        </is>
      </c>
      <c r="D1039" s="26" t="inlineStr">
        <is>
          <t>OPE</t>
        </is>
      </c>
      <c r="E1039" s="26" t="n"/>
      <c r="F1039" s="26" t="n"/>
      <c r="G1039" s="26" t="n"/>
      <c r="H1039" s="26" t="inlineStr">
        <is>
          <t>OPE</t>
        </is>
      </c>
      <c r="I1039" s="26" t="inlineStr">
        <is>
          <t>TRANSACTION-OPEN</t>
        </is>
      </c>
      <c r="J1039" s="26" t="n"/>
      <c r="K1039" s="26" t="n"/>
      <c r="L1039" s="26" t="inlineStr">
        <is>
          <t>/OPE/TRANSACTION-OPEN</t>
        </is>
      </c>
      <c r="M1039" s="26" t="n"/>
      <c r="N1039" s="26" t="n"/>
      <c r="O1039" s="26" t="n"/>
      <c r="P1039" s="26" t="n"/>
      <c r="Q1039" s="26" t="n"/>
      <c r="R1039" s="26" t="n"/>
      <c r="S1039" s="26" t="n"/>
      <c r="T1039" s="26" t="n"/>
      <c r="U1039" s="26" t="n"/>
      <c r="V1039" s="26" t="inlineStr">
        <is>
          <t>POST</t>
        </is>
      </c>
      <c r="W1039" s="26" t="n"/>
      <c r="X1039" s="26" t="n"/>
    </row>
    <row r="1040">
      <c r="A1040" s="26" t="n"/>
      <c r="B1040" s="26" t="n"/>
      <c r="C1040" s="26" t="inlineStr">
        <is>
          <t>OPE</t>
        </is>
      </c>
      <c r="D1040" s="26" t="inlineStr">
        <is>
          <t>OPE</t>
        </is>
      </c>
      <c r="E1040" s="26" t="n"/>
      <c r="F1040" s="26" t="n"/>
      <c r="G1040" s="26" t="n"/>
      <c r="H1040" s="26" t="inlineStr">
        <is>
          <t>OPE</t>
        </is>
      </c>
      <c r="I1040" s="26" t="inlineStr">
        <is>
          <t>UTBLTYPES</t>
        </is>
      </c>
      <c r="J1040" s="26" t="n"/>
      <c r="K1040" s="26" t="n"/>
      <c r="L1040" s="26" t="inlineStr">
        <is>
          <t>/OPE/UTBLTYPES</t>
        </is>
      </c>
      <c r="M1040" s="26" t="n"/>
      <c r="N1040" s="26" t="n"/>
      <c r="O1040" s="26" t="n"/>
      <c r="P1040" s="26" t="n"/>
      <c r="Q1040" s="26" t="n"/>
      <c r="R1040" s="26" t="n"/>
      <c r="S1040" s="26" t="n"/>
      <c r="T1040" s="26" t="n"/>
      <c r="U1040" s="26" t="n"/>
      <c r="V1040" s="26" t="inlineStr">
        <is>
          <t>GET</t>
        </is>
      </c>
      <c r="W1040" s="26" t="n"/>
      <c r="X1040" s="26" t="n"/>
    </row>
    <row r="1041">
      <c r="A1041" s="26" t="n"/>
      <c r="B1041" s="26" t="n"/>
      <c r="C1041" s="26" t="inlineStr">
        <is>
          <t>VIEW</t>
        </is>
      </c>
      <c r="D1041" s="26" t="inlineStr">
        <is>
          <t>VIEW</t>
        </is>
      </c>
      <c r="E1041" s="26" t="inlineStr">
        <is>
          <t>Select</t>
        </is>
      </c>
      <c r="F1041" s="26" t="n"/>
      <c r="G1041" s="26" t="n"/>
      <c r="H1041" s="26" t="inlineStr">
        <is>
          <t>VIEW</t>
        </is>
      </c>
      <c r="I1041" s="26" t="inlineStr">
        <is>
          <t>SELECT</t>
        </is>
      </c>
      <c r="J1041" s="26" t="n"/>
      <c r="K1041" s="26" t="n"/>
      <c r="L1041" s="26" t="inlineStr">
        <is>
          <t>/VIEW/SELECT</t>
        </is>
      </c>
      <c r="M1041" s="26" t="n"/>
      <c r="N1041" s="26" t="n"/>
      <c r="O1041" s="26" t="n"/>
      <c r="P1041" s="26" t="n"/>
      <c r="Q1041" s="26" t="n"/>
      <c r="R1041" s="26" t="n"/>
      <c r="S1041" s="26" t="n"/>
      <c r="T1041" s="26" t="n"/>
      <c r="U1041" s="26" t="n"/>
      <c r="V1041" s="26" t="inlineStr">
        <is>
          <t>GET</t>
        </is>
      </c>
      <c r="W1041" s="26" t="n"/>
      <c r="X1041" s="26" t="n"/>
    </row>
    <row r="1042">
      <c r="A1042" t="n">
        <v>563</v>
      </c>
      <c r="B1042" t="inlineStr">
        <is>
          <t>civil-nx/gen-nx</t>
        </is>
      </c>
      <c r="C1042" t="inlineStr">
        <is>
          <t>Time History Analysis</t>
        </is>
      </c>
      <c r="D1042" t="inlineStr">
        <is>
          <t>Time History Analysis</t>
        </is>
      </c>
      <c r="E1042" t="inlineStr">
        <is>
          <t>T.H Graph</t>
        </is>
      </c>
      <c r="F1042" t="inlineStr">
        <is>
          <t>Time History Energy Graph</t>
        </is>
      </c>
      <c r="T1042" t="inlineStr">
        <is>
          <t>none</t>
        </is>
      </c>
      <c r="Z1042">
        <f>IF(OR(K565="",K565="TABLE"),"",
_xlfn.TEXTJOIN(", ",TRUE,
IF(E565&lt;&gt;"",E565&amp;K565,""),
IF(F565&lt;&gt;"",F565&amp;K565,""),
IF(G565&lt;&gt;"",G565&amp;K565,"")
))</f>
        <v/>
      </c>
      <c r="AA1042">
        <f>IF(K565="","",IF(K565="TABLE","",K565))</f>
        <v/>
      </c>
      <c r="AB1042">
        <f>IF(ISNUMBER(SEARCH("기존변경필요",SUBSTITUTE(TRIM(V565),CHAR(10)," "))),"",
IFERROR(
  _xlfn.XLOOKUP(AA565,'기존 end point'!B:B,'기존 end point'!B:B,,0),
""))</f>
        <v/>
      </c>
    </row>
    <row r="1043">
      <c r="A1043" t="n">
        <v>564</v>
      </c>
      <c r="B1043" t="inlineStr">
        <is>
          <t>gen-nx</t>
        </is>
      </c>
      <c r="C1043" t="inlineStr">
        <is>
          <t>Time History Analysis</t>
        </is>
      </c>
      <c r="D1043" t="inlineStr">
        <is>
          <t>Time History Analysis</t>
        </is>
      </c>
      <c r="E1043" t="inlineStr">
        <is>
          <t>T.H Graph</t>
        </is>
      </c>
      <c r="F1043" t="inlineStr">
        <is>
          <t>Group Energy Graph</t>
        </is>
      </c>
      <c r="T1043" t="inlineStr">
        <is>
          <t>none</t>
        </is>
      </c>
      <c r="Z1043">
        <f>IF(OR(K566="",K566="TABLE"),"",
_xlfn.TEXTJOIN(", ",TRUE,
IF(E566&lt;&gt;"",E566&amp;K566,""),
IF(F566&lt;&gt;"",F566&amp;K566,""),
IF(G566&lt;&gt;"",G566&amp;K566,"")
))</f>
        <v/>
      </c>
      <c r="AA1043">
        <f>IF(K566="","",IF(K566="TABLE","",K566))</f>
        <v/>
      </c>
      <c r="AB1043">
        <f>IF(ISNUMBER(SEARCH("기존변경필요",SUBSTITUTE(TRIM(V566),CHAR(10)," "))),"",
IFERROR(
  _xlfn.XLOOKUP(AA566,'기존 end point'!B:B,'기존 end point'!B:B,,0),
""))</f>
        <v/>
      </c>
    </row>
    <row r="1044">
      <c r="A1044" t="n">
        <v>565</v>
      </c>
      <c r="B1044" t="inlineStr">
        <is>
          <t>gen-nx</t>
        </is>
      </c>
      <c r="C1044" t="inlineStr">
        <is>
          <t>Time History Analysis</t>
        </is>
      </c>
      <c r="D1044" t="inlineStr">
        <is>
          <t>Time History Analysis</t>
        </is>
      </c>
      <c r="E1044" t="inlineStr">
        <is>
          <t>T.H Graph</t>
        </is>
      </c>
      <c r="F1044" t="inlineStr">
        <is>
          <t>Story Graph</t>
        </is>
      </c>
      <c r="T1044" t="inlineStr">
        <is>
          <t>none</t>
        </is>
      </c>
      <c r="Z1044">
        <f>IF(OR(K567="",K567="TABLE"),"",
_xlfn.TEXTJOIN(", ",TRUE,
IF(E567&lt;&gt;"",E567&amp;K567,""),
IF(F567&lt;&gt;"",F567&amp;K567,""),
IF(G567&lt;&gt;"",G567&amp;K567,"")
))</f>
        <v/>
      </c>
      <c r="AA1044">
        <f>IF(K567="","",IF(K567="TABLE","",K567))</f>
        <v/>
      </c>
      <c r="AB1044">
        <f>IF(ISNUMBER(SEARCH("기존변경필요",SUBSTITUTE(TRIM(V567),CHAR(10)," "))),"",
IFERROR(
  _xlfn.XLOOKUP(AA567,'기존 end point'!B:B,'기존 end point'!B:B,,0),
""))</f>
        <v/>
      </c>
    </row>
    <row r="1045">
      <c r="A1045" t="n">
        <v>566</v>
      </c>
      <c r="B1045" t="inlineStr">
        <is>
          <t>civil-nx/gen-nx</t>
        </is>
      </c>
      <c r="C1045" t="inlineStr">
        <is>
          <t>Time History Analysis</t>
        </is>
      </c>
      <c r="D1045" t="inlineStr">
        <is>
          <t>Time History Analysis</t>
        </is>
      </c>
      <c r="E1045" t="inlineStr">
        <is>
          <t>Time History Text</t>
        </is>
      </c>
      <c r="T1045" t="inlineStr">
        <is>
          <t>none</t>
        </is>
      </c>
      <c r="W1045" t="inlineStr">
        <is>
          <t>https://support.midasuser.com/hc/en-us/articles/35993633394969-RC-Design-Code</t>
        </is>
      </c>
      <c r="Z1045">
        <f>IF(OR(K568="",K568="TABLE"),"",
_xlfn.TEXTJOIN(", ",TRUE,
IF(E568&lt;&gt;"",E568&amp;K568,""),
IF(F568&lt;&gt;"",F568&amp;K568,""),
IF(G568&lt;&gt;"",G568&amp;K568,"")
))</f>
        <v/>
      </c>
      <c r="AA1045">
        <f>IF(K568="","",IF(K568="TABLE","",K568))</f>
        <v/>
      </c>
      <c r="AB1045">
        <f>IF(ISNUMBER(SEARCH("기존변경필요",SUBSTITUTE(TRIM(V568),CHAR(10)," "))),"",
IFERROR(
  _xlfn.XLOOKUP(AA568,'기존 end point'!B:B,'기존 end point'!B:B,,0),
""))</f>
        <v/>
      </c>
    </row>
    <row r="1046">
      <c r="A1046" t="n">
        <v>567</v>
      </c>
      <c r="B1046" t="inlineStr">
        <is>
          <t>civil-nx/gen-nx</t>
        </is>
      </c>
      <c r="C1046" t="inlineStr">
        <is>
          <t>Time History Analysis</t>
        </is>
      </c>
      <c r="D1046" t="inlineStr">
        <is>
          <t>Time History Analysis</t>
        </is>
      </c>
      <c r="E1046" t="inlineStr">
        <is>
          <t>Analysis Result of Fiber Section</t>
        </is>
      </c>
      <c r="T1046" t="inlineStr">
        <is>
          <t>none</t>
        </is>
      </c>
      <c r="Z1046">
        <f>IF(OR(K569="",K569="TABLE"),"",
_xlfn.TEXTJOIN(", ",TRUE,
IF(E569&lt;&gt;"",E569&amp;K569,""),
IF(F569&lt;&gt;"",F569&amp;K569,""),
IF(G569&lt;&gt;"",G569&amp;K569,"")
))</f>
        <v/>
      </c>
      <c r="AA1046">
        <f>IF(K569="","",IF(K569="TABLE","",K569))</f>
        <v/>
      </c>
      <c r="AB1046">
        <f>IF(ISNUMBER(SEARCH("기존변경필요",SUBSTITUTE(TRIM(V569),CHAR(10)," "))),"",
IFERROR(
  _xlfn.XLOOKUP(AA569,'기존 end point'!B:B,'기존 end point'!B:B,,0),
""))</f>
        <v/>
      </c>
    </row>
    <row r="1047">
      <c r="A1047" t="n">
        <v>568</v>
      </c>
      <c r="B1047" t="inlineStr">
        <is>
          <t>gen-nx</t>
        </is>
      </c>
      <c r="C1047" t="inlineStr">
        <is>
          <t>Time History Analysis</t>
        </is>
      </c>
      <c r="D1047" t="inlineStr">
        <is>
          <t>Time History Analysis</t>
        </is>
      </c>
      <c r="E1047" t="inlineStr">
        <is>
          <t>Time History Load Combinations</t>
        </is>
      </c>
      <c r="T1047" t="inlineStr">
        <is>
          <t>none</t>
        </is>
      </c>
      <c r="Z1047">
        <f>IF(OR(K570="",K570="TABLE"),"",
_xlfn.TEXTJOIN(", ",TRUE,
IF(E570&lt;&gt;"",E570&amp;K570,""),
IF(F570&lt;&gt;"",F570&amp;K570,""),
IF(G570&lt;&gt;"",G570&amp;K570,"")
))</f>
        <v/>
      </c>
      <c r="AA1047">
        <f>IF(K570="","",IF(K570="TABLE","",K570))</f>
        <v/>
      </c>
      <c r="AB1047">
        <f>IF(ISNUMBER(SEARCH("기존변경필요",SUBSTITUTE(TRIM(V570),CHAR(10)," "))),"",
IFERROR(
  _xlfn.XLOOKUP(AA570,'기존 end point'!B:B,'기존 end point'!B:B,,0),
""))</f>
        <v/>
      </c>
    </row>
    <row r="1048">
      <c r="A1048" t="n">
        <v>569</v>
      </c>
      <c r="B1048" t="inlineStr">
        <is>
          <t>civil-nx/gen-nx</t>
        </is>
      </c>
      <c r="C1048" t="inlineStr">
        <is>
          <t>Time History Analysis</t>
        </is>
      </c>
      <c r="D1048" t="inlineStr">
        <is>
          <t>Table</t>
        </is>
      </c>
      <c r="E1048" t="inlineStr">
        <is>
          <t>Inelastic Hinge</t>
        </is>
      </c>
      <c r="F1048" t="inlineStr">
        <is>
          <t>Event Time</t>
        </is>
      </c>
      <c r="T1048" t="inlineStr">
        <is>
          <t>none</t>
        </is>
      </c>
      <c r="Z1048">
        <f>IF(OR(K571="",K571="TABLE"),"",
_xlfn.TEXTJOIN(", ",TRUE,
IF(E571&lt;&gt;"",E571&amp;K571,""),
IF(F571&lt;&gt;"",F571&amp;K571,""),
IF(G571&lt;&gt;"",G571&amp;K571,"")
))</f>
        <v/>
      </c>
      <c r="AA1048">
        <f>IF(K571="","",IF(K571="TABLE","",K571))</f>
        <v/>
      </c>
      <c r="AB1048">
        <f>IF(ISNUMBER(SEARCH("기존변경필요",SUBSTITUTE(TRIM(V571),CHAR(10)," "))),"",
IFERROR(
  _xlfn.XLOOKUP(AA571,'기존 end point'!B:B,'기존 end point'!B:B,,0),
""))</f>
        <v/>
      </c>
    </row>
    <row r="1049">
      <c r="A1049" t="n">
        <v>570</v>
      </c>
      <c r="B1049" t="inlineStr">
        <is>
          <t>civil-nx/gen-nx</t>
        </is>
      </c>
      <c r="C1049" t="inlineStr">
        <is>
          <t>Time History Analysis</t>
        </is>
      </c>
      <c r="D1049" t="inlineStr">
        <is>
          <t>Table</t>
        </is>
      </c>
      <c r="E1049" t="inlineStr">
        <is>
          <t>Inelastic Hinge</t>
        </is>
      </c>
      <c r="F1049" t="inlineStr">
        <is>
          <t>Beam Summary</t>
        </is>
      </c>
      <c r="T1049" t="inlineStr">
        <is>
          <t>none</t>
        </is>
      </c>
      <c r="Z1049">
        <f>IF(OR(K572="",K572="TABLE"),"",
_xlfn.TEXTJOIN(", ",TRUE,
IF(E572&lt;&gt;"",E572&amp;K572,""),
IF(F572&lt;&gt;"",F572&amp;K572,""),
IF(G572&lt;&gt;"",G572&amp;K572,"")
))</f>
        <v/>
      </c>
      <c r="AA1049">
        <f>IF(K572="","",IF(K572="TABLE","",K572))</f>
        <v/>
      </c>
      <c r="AB1049">
        <f>IF(ISNUMBER(SEARCH("기존변경필요",SUBSTITUTE(TRIM(V572),CHAR(10)," "))),"",
IFERROR(
  _xlfn.XLOOKUP(AA572,'기존 end point'!B:B,'기존 end point'!B:B,,0),
""))</f>
        <v/>
      </c>
    </row>
    <row r="1050">
      <c r="A1050" t="n">
        <v>571</v>
      </c>
      <c r="B1050" t="inlineStr">
        <is>
          <t>gen-nx</t>
        </is>
      </c>
      <c r="C1050" t="inlineStr">
        <is>
          <t>Time History Analysis</t>
        </is>
      </c>
      <c r="D1050" t="inlineStr">
        <is>
          <t>Table</t>
        </is>
      </c>
      <c r="E1050" t="inlineStr">
        <is>
          <t>Inelastic Hinge</t>
        </is>
      </c>
      <c r="F1050" t="inlineStr">
        <is>
          <t>Wall Summary</t>
        </is>
      </c>
      <c r="T1050" t="inlineStr">
        <is>
          <t>none</t>
        </is>
      </c>
      <c r="Z1050">
        <f>IF(OR(K573="",K573="TABLE"),"",
_xlfn.TEXTJOIN(", ",TRUE,
IF(E573&lt;&gt;"",E573&amp;K573,""),
IF(F573&lt;&gt;"",F573&amp;K573,""),
IF(G573&lt;&gt;"",G573&amp;K573,"")
))</f>
        <v/>
      </c>
      <c r="AA1050">
        <f>IF(K573="","",IF(K573="TABLE","",K573))</f>
        <v/>
      </c>
      <c r="AB1050">
        <f>IF(ISNUMBER(SEARCH("기존변경필요",SUBSTITUTE(TRIM(V573),CHAR(10)," "))),"",
IFERROR(
  _xlfn.XLOOKUP(AA573,'기존 end point'!B:B,'기존 end point'!B:B,,0),
""))</f>
        <v/>
      </c>
    </row>
    <row r="1051">
      <c r="A1051" t="n">
        <v>572</v>
      </c>
      <c r="B1051" t="inlineStr">
        <is>
          <t>civil-nx/gen-nx</t>
        </is>
      </c>
      <c r="C1051" t="inlineStr">
        <is>
          <t>Time History Analysis</t>
        </is>
      </c>
      <c r="D1051" t="inlineStr">
        <is>
          <t>Table</t>
        </is>
      </c>
      <c r="E1051" t="inlineStr">
        <is>
          <t>Inelastic Hinge</t>
        </is>
      </c>
      <c r="F1051" t="inlineStr">
        <is>
          <t>Truss Summary</t>
        </is>
      </c>
      <c r="T1051" t="inlineStr">
        <is>
          <t>none</t>
        </is>
      </c>
      <c r="Z1051">
        <f>IF(OR(K574="",K574="TABLE"),"",
_xlfn.TEXTJOIN(", ",TRUE,
IF(E574&lt;&gt;"",E574&amp;K574,""),
IF(F574&lt;&gt;"",F574&amp;K574,""),
IF(G574&lt;&gt;"",G574&amp;K574,"")
))</f>
        <v/>
      </c>
      <c r="AA1051">
        <f>IF(K574="","",IF(K574="TABLE","",K574))</f>
        <v/>
      </c>
      <c r="AB1051">
        <f>IF(ISNUMBER(SEARCH("기존변경필요",SUBSTITUTE(TRIM(V574),CHAR(10)," "))),"",
IFERROR(
  _xlfn.XLOOKUP(AA574,'기존 end point'!B:B,'기존 end point'!B:B,,0),
""))</f>
        <v/>
      </c>
    </row>
    <row r="1052">
      <c r="A1052" t="n">
        <v>573</v>
      </c>
      <c r="B1052" t="inlineStr">
        <is>
          <t>civil-nx/gen-nx</t>
        </is>
      </c>
      <c r="C1052" t="inlineStr">
        <is>
          <t>Time History Analysis</t>
        </is>
      </c>
      <c r="D1052" t="inlineStr">
        <is>
          <t>Table</t>
        </is>
      </c>
      <c r="E1052" t="inlineStr">
        <is>
          <t>Inelastic Hinge</t>
        </is>
      </c>
      <c r="F1052" t="inlineStr">
        <is>
          <t>GL-Link Summary</t>
        </is>
      </c>
      <c r="T1052" t="inlineStr">
        <is>
          <t>none</t>
        </is>
      </c>
      <c r="Z1052">
        <f>IF(OR(K575="",K575="TABLE"),"",
_xlfn.TEXTJOIN(", ",TRUE,
IF(E575&lt;&gt;"",E575&amp;K575,""),
IF(F575&lt;&gt;"",F575&amp;K575,""),
IF(G575&lt;&gt;"",G575&amp;K575,"")
))</f>
        <v/>
      </c>
      <c r="AA1052">
        <f>IF(K575="","",IF(K575="TABLE","",K575))</f>
        <v/>
      </c>
      <c r="AB1052">
        <f>IF(ISNUMBER(SEARCH("기존변경필요",SUBSTITUTE(TRIM(V575),CHAR(10)," "))),"",
IFERROR(
  _xlfn.XLOOKUP(AA575,'기존 end point'!B:B,'기존 end point'!B:B,,0),
""))</f>
        <v/>
      </c>
    </row>
    <row r="1053">
      <c r="A1053" t="n">
        <v>574</v>
      </c>
      <c r="B1053" t="inlineStr">
        <is>
          <t>gen-nx</t>
        </is>
      </c>
      <c r="C1053" t="inlineStr">
        <is>
          <t>Time History Analysis</t>
        </is>
      </c>
      <c r="D1053" t="inlineStr">
        <is>
          <t>Table</t>
        </is>
      </c>
      <c r="E1053" t="inlineStr">
        <is>
          <t>Inelastic Hinge</t>
        </is>
      </c>
      <c r="F1053" t="inlineStr">
        <is>
          <t>Fiber Beam Summary</t>
        </is>
      </c>
      <c r="T1053" t="inlineStr">
        <is>
          <t>none</t>
        </is>
      </c>
      <c r="Z1053">
        <f>IF(OR(K576="",K576="TABLE"),"",
_xlfn.TEXTJOIN(", ",TRUE,
IF(E576&lt;&gt;"",E576&amp;K576,""),
IF(F576&lt;&gt;"",F576&amp;K576,""),
IF(G576&lt;&gt;"",G576&amp;K576,"")
))</f>
        <v/>
      </c>
      <c r="AA1053">
        <f>IF(K576="","",IF(K576="TABLE","",K576))</f>
        <v/>
      </c>
      <c r="AB1053">
        <f>IF(ISNUMBER(SEARCH("기존변경필요",SUBSTITUTE(TRIM(V576),CHAR(10)," "))),"",
IFERROR(
  _xlfn.XLOOKUP(AA576,'기존 end point'!B:B,'기존 end point'!B:B,,0),
""))</f>
        <v/>
      </c>
    </row>
    <row r="1054">
      <c r="A1054" t="n">
        <v>575</v>
      </c>
      <c r="B1054" t="inlineStr">
        <is>
          <t>gen-nx</t>
        </is>
      </c>
      <c r="C1054" t="inlineStr">
        <is>
          <t>Time History Analysis</t>
        </is>
      </c>
      <c r="D1054" t="inlineStr">
        <is>
          <t>Table</t>
        </is>
      </c>
      <c r="E1054" t="inlineStr">
        <is>
          <t>Inelastic Hinge</t>
        </is>
      </c>
      <c r="F1054" t="inlineStr">
        <is>
          <t>Fiber Wall Summary</t>
        </is>
      </c>
      <c r="T1054" t="inlineStr">
        <is>
          <t>none</t>
        </is>
      </c>
      <c r="Z1054">
        <f>IF(OR(K577="",K577="TABLE"),"",
_xlfn.TEXTJOIN(", ",TRUE,
IF(E577&lt;&gt;"",E577&amp;K577,""),
IF(F577&lt;&gt;"",F577&amp;K577,""),
IF(G577&lt;&gt;"",G577&amp;K577,"")
))</f>
        <v/>
      </c>
      <c r="AA1054">
        <f>IF(K577="","",IF(K577="TABLE","",K577))</f>
        <v/>
      </c>
      <c r="AB1054">
        <f>IF(ISNUMBER(SEARCH("기존변경필요",SUBSTITUTE(TRIM(V577),CHAR(10)," "))),"",
IFERROR(
  _xlfn.XLOOKUP(AA577,'기존 end point'!B:B,'기존 end point'!B:B,,0),
""))</f>
        <v/>
      </c>
    </row>
    <row r="1055">
      <c r="A1055" t="n">
        <v>576</v>
      </c>
      <c r="B1055" t="inlineStr">
        <is>
          <t>civil-nx/gen-nx</t>
        </is>
      </c>
      <c r="C1055" t="inlineStr">
        <is>
          <t>Time History Analysis</t>
        </is>
      </c>
      <c r="D1055" t="inlineStr">
        <is>
          <t>Table</t>
        </is>
      </c>
      <c r="E1055" t="inlineStr">
        <is>
          <t>Inelastic Hinge</t>
        </is>
      </c>
      <c r="F1055" t="inlineStr">
        <is>
          <t>Force</t>
        </is>
      </c>
      <c r="T1055" t="inlineStr">
        <is>
          <t>none</t>
        </is>
      </c>
      <c r="Z1055">
        <f>IF(OR(K578="",K578="TABLE"),"",
_xlfn.TEXTJOIN(", ",TRUE,
IF(E578&lt;&gt;"",E578&amp;K578,""),
IF(F578&lt;&gt;"",F578&amp;K578,""),
IF(G578&lt;&gt;"",G578&amp;K578,"")
))</f>
        <v/>
      </c>
      <c r="AA1055">
        <f>IF(K578="","",IF(K578="TABLE","",K578))</f>
        <v/>
      </c>
      <c r="AB1055">
        <f>IF(ISNUMBER(SEARCH("기존변경필요",SUBSTITUTE(TRIM(V578),CHAR(10)," "))),"",
IFERROR(
  _xlfn.XLOOKUP(AA578,'기존 end point'!B:B,'기존 end point'!B:B,,0),
""))</f>
        <v/>
      </c>
    </row>
    <row r="1056">
      <c r="A1056" t="n">
        <v>577</v>
      </c>
      <c r="B1056" t="inlineStr">
        <is>
          <t>civil-nx/gen-nx</t>
        </is>
      </c>
      <c r="C1056" t="inlineStr">
        <is>
          <t>Time History Analysis</t>
        </is>
      </c>
      <c r="D1056" t="inlineStr">
        <is>
          <t>Table</t>
        </is>
      </c>
      <c r="E1056" t="inlineStr">
        <is>
          <t>Inelastic Hinge</t>
        </is>
      </c>
      <c r="F1056" t="inlineStr">
        <is>
          <t>Deformation</t>
        </is>
      </c>
      <c r="T1056" t="inlineStr">
        <is>
          <t>none</t>
        </is>
      </c>
      <c r="Z1056">
        <f>IF(OR(K579="",K579="TABLE"),"",
_xlfn.TEXTJOIN(", ",TRUE,
IF(E579&lt;&gt;"",E579&amp;K579,""),
IF(F579&lt;&gt;"",F579&amp;K579,""),
IF(G579&lt;&gt;"",G579&amp;K579,"")
))</f>
        <v/>
      </c>
      <c r="AA1056">
        <f>IF(K579="","",IF(K579="TABLE","",K579))</f>
        <v/>
      </c>
      <c r="AB1056">
        <f>IF(ISNUMBER(SEARCH("기존변경필요",SUBSTITUTE(TRIM(V579),CHAR(10)," "))),"",
IFERROR(
  _xlfn.XLOOKUP(AA579,'기존 end point'!B:B,'기존 end point'!B:B,,0),
""))</f>
        <v/>
      </c>
    </row>
    <row r="1057">
      <c r="A1057" t="n">
        <v>578</v>
      </c>
      <c r="B1057" t="inlineStr">
        <is>
          <t>civil-nx/gen-nx</t>
        </is>
      </c>
      <c r="C1057" t="inlineStr">
        <is>
          <t>Time History Analysis</t>
        </is>
      </c>
      <c r="D1057" t="inlineStr">
        <is>
          <t>Table</t>
        </is>
      </c>
      <c r="E1057" t="inlineStr">
        <is>
          <t>Inelastic Hinge</t>
        </is>
      </c>
      <c r="F1057" t="inlineStr">
        <is>
          <t>Element Rotation</t>
        </is>
      </c>
      <c r="T1057" t="inlineStr">
        <is>
          <t>none</t>
        </is>
      </c>
      <c r="Z1057">
        <f>IF(OR(K580="",K580="TABLE"),"",
_xlfn.TEXTJOIN(", ",TRUE,
IF(E580&lt;&gt;"",E580&amp;K580,""),
IF(F580&lt;&gt;"",F580&amp;K580,""),
IF(G580&lt;&gt;"",G580&amp;K580,"")
))</f>
        <v/>
      </c>
      <c r="AA1057">
        <f>IF(K580="","",IF(K580="TABLE","",K580))</f>
        <v/>
      </c>
      <c r="AB1057">
        <f>IF(ISNUMBER(SEARCH("기존변경필요",SUBSTITUTE(TRIM(V580),CHAR(10)," "))),"",
IFERROR(
  _xlfn.XLOOKUP(AA580,'기존 end point'!B:B,'기존 end point'!B:B,,0),
""))</f>
        <v/>
      </c>
    </row>
    <row r="1058">
      <c r="A1058" t="n">
        <v>579</v>
      </c>
      <c r="B1058" t="inlineStr">
        <is>
          <t>civil-nx/gen-nx</t>
        </is>
      </c>
      <c r="C1058" t="inlineStr">
        <is>
          <t>Time History Analysis</t>
        </is>
      </c>
      <c r="D1058" t="inlineStr">
        <is>
          <t>Table</t>
        </is>
      </c>
      <c r="E1058" t="inlineStr">
        <is>
          <t>Inelastic Hinge</t>
        </is>
      </c>
      <c r="F1058" t="inlineStr">
        <is>
          <t>Ductility Factor(D/D1)</t>
        </is>
      </c>
      <c r="T1058" t="inlineStr">
        <is>
          <t>none</t>
        </is>
      </c>
      <c r="Z1058">
        <f>IF(OR(K581="",K581="TABLE"),"",
_xlfn.TEXTJOIN(", ",TRUE,
IF(E581&lt;&gt;"",E581&amp;K581,""),
IF(F581&lt;&gt;"",F581&amp;K581,""),
IF(G581&lt;&gt;"",G581&amp;K581,"")
))</f>
        <v/>
      </c>
      <c r="AA1058">
        <f>IF(K581="","",IF(K581="TABLE","",K581))</f>
        <v/>
      </c>
      <c r="AB1058">
        <f>IF(ISNUMBER(SEARCH("기존변경필요",SUBSTITUTE(TRIM(V581),CHAR(10)," "))),"",
IFERROR(
  _xlfn.XLOOKUP(AA581,'기존 end point'!B:B,'기존 end point'!B:B,,0),
""))</f>
        <v/>
      </c>
    </row>
    <row r="1059">
      <c r="A1059" t="n">
        <v>580</v>
      </c>
      <c r="B1059" t="inlineStr">
        <is>
          <t>civil-nx/gen-nx</t>
        </is>
      </c>
      <c r="C1059" t="inlineStr">
        <is>
          <t>Time History Analysis</t>
        </is>
      </c>
      <c r="D1059" t="inlineStr">
        <is>
          <t>Table</t>
        </is>
      </c>
      <c r="E1059" t="inlineStr">
        <is>
          <t>Inelastic Hinge</t>
        </is>
      </c>
      <c r="F1059" t="inlineStr">
        <is>
          <t>Ductility Factor(D/D2)</t>
        </is>
      </c>
      <c r="T1059" t="inlineStr">
        <is>
          <t>none</t>
        </is>
      </c>
      <c r="Z1059">
        <f>IF(OR(K582="",K582="TABLE"),"",
_xlfn.TEXTJOIN(", ",TRUE,
IF(E582&lt;&gt;"",E582&amp;K582,""),
IF(F582&lt;&gt;"",F582&amp;K582,""),
IF(G582&lt;&gt;"",G582&amp;K582,"")
))</f>
        <v/>
      </c>
      <c r="AA1059">
        <f>IF(K582="","",IF(K582="TABLE","",K582))</f>
        <v/>
      </c>
      <c r="AB1059">
        <f>IF(ISNUMBER(SEARCH("기존변경필요",SUBSTITUTE(TRIM(V582),CHAR(10)," "))),"",
IFERROR(
  _xlfn.XLOOKUP(AA582,'기존 end point'!B:B,'기존 end point'!B:B,,0),
""))</f>
        <v/>
      </c>
    </row>
    <row r="1060">
      <c r="A1060" t="n">
        <v>581</v>
      </c>
      <c r="B1060" t="inlineStr">
        <is>
          <t>civil-nx/gen-nx</t>
        </is>
      </c>
      <c r="C1060" t="inlineStr">
        <is>
          <t>Time History Analysis</t>
        </is>
      </c>
      <c r="D1060" t="inlineStr">
        <is>
          <t>Table</t>
        </is>
      </c>
      <c r="E1060" t="inlineStr">
        <is>
          <t>Inelastic Hinge</t>
        </is>
      </c>
      <c r="F1060" t="inlineStr">
        <is>
          <t>Concurrent Results</t>
        </is>
      </c>
      <c r="T1060" t="inlineStr">
        <is>
          <t>none</t>
        </is>
      </c>
      <c r="Z1060">
        <f>IF(OR(K583="",K583="TABLE"),"",
_xlfn.TEXTJOIN(", ",TRUE,
IF(E583&lt;&gt;"",E583&amp;K583,""),
IF(F583&lt;&gt;"",F583&amp;K583,""),
IF(G583&lt;&gt;"",G583&amp;K583,"")
))</f>
        <v/>
      </c>
      <c r="AA1060">
        <f>IF(K583="","",IF(K583="TABLE","",K583))</f>
        <v/>
      </c>
      <c r="AB1060">
        <f>IF(ISNUMBER(SEARCH("기존변경필요",SUBSTITUTE(TRIM(V583),CHAR(10)," "))),"",
IFERROR(
  _xlfn.XLOOKUP(AA583,'기존 end point'!B:B,'기존 end point'!B:B,,0),
""))</f>
        <v/>
      </c>
    </row>
    <row r="1061">
      <c r="A1061" t="n">
        <v>582</v>
      </c>
      <c r="B1061" t="inlineStr">
        <is>
          <t>civil-nx/gen-nx</t>
        </is>
      </c>
      <c r="C1061" t="inlineStr">
        <is>
          <t>Time History Analysis</t>
        </is>
      </c>
      <c r="D1061" t="inlineStr">
        <is>
          <t>Table</t>
        </is>
      </c>
      <c r="E1061" t="inlineStr">
        <is>
          <t>Time History Analysis</t>
        </is>
      </c>
      <c r="F1061" t="inlineStr">
        <is>
          <t>Displ/Vel/Accel</t>
        </is>
      </c>
      <c r="T1061" t="inlineStr">
        <is>
          <t>none</t>
        </is>
      </c>
      <c r="Z1061">
        <f>IF(OR(K584="",K584="TABLE"),"",
_xlfn.TEXTJOIN(", ",TRUE,
IF(E584&lt;&gt;"",E584&amp;K584,""),
IF(F584&lt;&gt;"",F584&amp;K584,""),
IF(G584&lt;&gt;"",G584&amp;K584,"")
))</f>
        <v/>
      </c>
      <c r="AA1061">
        <f>IF(K584="","",IF(K584="TABLE","",K584))</f>
        <v/>
      </c>
      <c r="AB1061">
        <f>IF(ISNUMBER(SEARCH("기존변경필요",SUBSTITUTE(TRIM(V584),CHAR(10)," "))),"",
IFERROR(
  _xlfn.XLOOKUP(AA584,'기존 end point'!B:B,'기존 end point'!B:B,,0),
""))</f>
        <v/>
      </c>
    </row>
    <row r="1062">
      <c r="A1062" t="n">
        <v>583</v>
      </c>
      <c r="B1062" t="inlineStr">
        <is>
          <t>civil-nx/gen-nx</t>
        </is>
      </c>
      <c r="C1062" t="inlineStr">
        <is>
          <t>Time History Analysis</t>
        </is>
      </c>
      <c r="D1062" t="inlineStr">
        <is>
          <t>Table</t>
        </is>
      </c>
      <c r="E1062" t="inlineStr">
        <is>
          <t>Time History Analysis</t>
        </is>
      </c>
      <c r="F1062" t="inlineStr">
        <is>
          <t>Beam Force</t>
        </is>
      </c>
      <c r="T1062" t="inlineStr">
        <is>
          <t>none</t>
        </is>
      </c>
      <c r="Z1062">
        <f>IF(OR(K585="",K585="TABLE"),"",
_xlfn.TEXTJOIN(", ",TRUE,
IF(E585&lt;&gt;"",E585&amp;K585,""),
IF(F585&lt;&gt;"",F585&amp;K585,""),
IF(G585&lt;&gt;"",G585&amp;K585,"")
))</f>
        <v/>
      </c>
      <c r="AA1062">
        <f>IF(K585="","",IF(K585="TABLE","",K585))</f>
        <v/>
      </c>
      <c r="AB1062">
        <f>IF(ISNUMBER(SEARCH("기존변경필요",SUBSTITUTE(TRIM(V585),CHAR(10)," "))),"",
IFERROR(
  _xlfn.XLOOKUP(AA585,'기존 end point'!B:B,'기존 end point'!B:B,,0),
""))</f>
        <v/>
      </c>
    </row>
    <row r="1063">
      <c r="A1063" t="n">
        <v>584</v>
      </c>
      <c r="B1063" t="inlineStr">
        <is>
          <t>gen-nx</t>
        </is>
      </c>
      <c r="C1063" t="inlineStr">
        <is>
          <t>Time History Analysis</t>
        </is>
      </c>
      <c r="D1063" t="inlineStr">
        <is>
          <t>Table</t>
        </is>
      </c>
      <c r="E1063" t="inlineStr">
        <is>
          <t>Time History Analysis</t>
        </is>
      </c>
      <c r="F1063" t="inlineStr">
        <is>
          <t>Wall Force</t>
        </is>
      </c>
      <c r="T1063" t="inlineStr">
        <is>
          <t>none</t>
        </is>
      </c>
      <c r="Z1063">
        <f>IF(OR(K586="",K586="TABLE"),"",
_xlfn.TEXTJOIN(", ",TRUE,
IF(E586&lt;&gt;"",E586&amp;K586,""),
IF(F586&lt;&gt;"",F586&amp;K586,""),
IF(G586&lt;&gt;"",G586&amp;K586,"")
))</f>
        <v/>
      </c>
      <c r="AA1063">
        <f>IF(K586="","",IF(K586="TABLE","",K586))</f>
        <v/>
      </c>
      <c r="AB1063">
        <f>IF(ISNUMBER(SEARCH("기존변경필요",SUBSTITUTE(TRIM(V586),CHAR(10)," "))),"",
IFERROR(
  _xlfn.XLOOKUP(AA586,'기존 end point'!B:B,'기존 end point'!B:B,,0),
""))</f>
        <v/>
      </c>
    </row>
    <row r="1064">
      <c r="A1064" t="n">
        <v>585</v>
      </c>
      <c r="B1064" t="inlineStr">
        <is>
          <t>civil-nx/gen-nx</t>
        </is>
      </c>
      <c r="C1064" t="inlineStr">
        <is>
          <t>Time History Analysis</t>
        </is>
      </c>
      <c r="D1064" t="inlineStr">
        <is>
          <t>Table</t>
        </is>
      </c>
      <c r="E1064" t="inlineStr">
        <is>
          <t>Time History Analysis</t>
        </is>
      </c>
      <c r="F1064" t="inlineStr">
        <is>
          <t>Truss Force</t>
        </is>
      </c>
      <c r="T1064" t="inlineStr">
        <is>
          <t>none</t>
        </is>
      </c>
      <c r="Z1064">
        <f>IF(OR(K587="",K587="TABLE"),"",
_xlfn.TEXTJOIN(", ",TRUE,
IF(E587&lt;&gt;"",E587&amp;K587,""),
IF(F587&lt;&gt;"",F587&amp;K587,""),
IF(G587&lt;&gt;"",G587&amp;K587,"")
))</f>
        <v/>
      </c>
      <c r="AA1064">
        <f>IF(K587="","",IF(K587="TABLE","",K587))</f>
        <v/>
      </c>
      <c r="AB1064">
        <f>IF(ISNUMBER(SEARCH("기존변경필요",SUBSTITUTE(TRIM(V587),CHAR(10)," "))),"",
IFERROR(
  _xlfn.XLOOKUP(AA587,'기존 end point'!B:B,'기존 end point'!B:B,,0),
""))</f>
        <v/>
      </c>
    </row>
    <row r="1065">
      <c r="A1065" t="n">
        <v>586</v>
      </c>
      <c r="B1065" t="inlineStr">
        <is>
          <t>civil-nx/gen-nx</t>
        </is>
      </c>
      <c r="C1065" t="inlineStr">
        <is>
          <t>Time History Analysis</t>
        </is>
      </c>
      <c r="D1065" t="inlineStr">
        <is>
          <t>Table</t>
        </is>
      </c>
      <c r="E1065" t="inlineStr">
        <is>
          <t>Time History Analysis</t>
        </is>
      </c>
      <c r="F1065" t="inlineStr">
        <is>
          <t>General Link</t>
        </is>
      </c>
      <c r="T1065" t="inlineStr">
        <is>
          <t>none</t>
        </is>
      </c>
      <c r="Z1065">
        <f>IF(OR(K588="",K588="TABLE"),"",
_xlfn.TEXTJOIN(", ",TRUE,
IF(E588&lt;&gt;"",E588&amp;K588,""),
IF(F588&lt;&gt;"",F588&amp;K588,""),
IF(G588&lt;&gt;"",G588&amp;K588,"")
))</f>
        <v/>
      </c>
      <c r="AA1065">
        <f>IF(K588="","",IF(K588="TABLE","",K588))</f>
        <v/>
      </c>
      <c r="AB1065">
        <f>IF(ISNUMBER(SEARCH("기존변경필요",SUBSTITUTE(TRIM(V588),CHAR(10)," "))),"",
IFERROR(
  _xlfn.XLOOKUP(AA588,'기존 end point'!B:B,'기존 end point'!B:B,,0),
""))</f>
        <v/>
      </c>
    </row>
    <row r="1066">
      <c r="A1066" t="n">
        <v>587</v>
      </c>
      <c r="B1066" t="inlineStr">
        <is>
          <t>gen-nx</t>
        </is>
      </c>
      <c r="C1066" t="inlineStr">
        <is>
          <t>Time History Analysis</t>
        </is>
      </c>
      <c r="D1066" t="inlineStr">
        <is>
          <t>Table</t>
        </is>
      </c>
      <c r="E1066" t="inlineStr">
        <is>
          <t>Story</t>
        </is>
      </c>
      <c r="F1066" t="inlineStr">
        <is>
          <t>Story Drift (Time Hiatory Analysis)</t>
        </is>
      </c>
      <c r="T1066" t="inlineStr">
        <is>
          <t>none</t>
        </is>
      </c>
      <c r="Z1066">
        <f>IF(OR(K589="",K589="TABLE"),"",
_xlfn.TEXTJOIN(", ",TRUE,
IF(E589&lt;&gt;"",E589&amp;K589,""),
IF(F589&lt;&gt;"",F589&amp;K589,""),
IF(G589&lt;&gt;"",G589&amp;K589,"")
))</f>
        <v/>
      </c>
      <c r="AA1066">
        <f>IF(K589="","",IF(K589="TABLE","",K589))</f>
        <v/>
      </c>
      <c r="AB1066">
        <f>IF(ISNUMBER(SEARCH("기존변경필요",SUBSTITUTE(TRIM(V589),CHAR(10)," "))),"",
IFERROR(
  _xlfn.XLOOKUP(AA589,'기존 end point'!B:B,'기존 end point'!B:B,,0),
""))</f>
        <v/>
      </c>
    </row>
    <row r="1067">
      <c r="A1067" t="n">
        <v>588</v>
      </c>
      <c r="B1067" t="inlineStr">
        <is>
          <t>gen-nx</t>
        </is>
      </c>
      <c r="C1067" t="inlineStr">
        <is>
          <t>Time History Analysis</t>
        </is>
      </c>
      <c r="D1067" t="inlineStr">
        <is>
          <t>Table</t>
        </is>
      </c>
      <c r="E1067" t="inlineStr">
        <is>
          <t>Story</t>
        </is>
      </c>
      <c r="F1067" t="inlineStr">
        <is>
          <t>Story Shear (Time History Analysis)</t>
        </is>
      </c>
      <c r="T1067" t="inlineStr">
        <is>
          <t>none</t>
        </is>
      </c>
      <c r="Z1067">
        <f>IF(OR(K590="",K590="TABLE"),"",
_xlfn.TEXTJOIN(", ",TRUE,
IF(E590&lt;&gt;"",E590&amp;K590,""),
IF(F590&lt;&gt;"",F590&amp;K590,""),
IF(G590&lt;&gt;"",G590&amp;K590,"")
))</f>
        <v/>
      </c>
      <c r="AA1067">
        <f>IF(K590="","",IF(K590="TABLE","",K590))</f>
        <v/>
      </c>
      <c r="AB1067">
        <f>IF(ISNUMBER(SEARCH("기존변경필요",SUBSTITUTE(TRIM(V590),CHAR(10)," "))),"",
IFERROR(
  _xlfn.XLOOKUP(AA590,'기존 end point'!B:B,'기존 end point'!B:B,,0),
""))</f>
        <v/>
      </c>
    </row>
    <row r="1068">
      <c r="A1068" t="n">
        <v>589</v>
      </c>
      <c r="B1068" t="inlineStr">
        <is>
          <t>civil-nx/gen-nx</t>
        </is>
      </c>
      <c r="C1068" t="inlineStr">
        <is>
          <t>Heat of Hydration</t>
        </is>
      </c>
      <c r="D1068" t="inlineStr">
        <is>
          <t>Heat of Hydration</t>
        </is>
      </c>
      <c r="E1068" t="inlineStr">
        <is>
          <t>Stress</t>
        </is>
      </c>
      <c r="T1068" t="inlineStr">
        <is>
          <t>none</t>
        </is>
      </c>
      <c r="Z1068">
        <f>IF(OR(K591="",K591="TABLE"),"",
_xlfn.TEXTJOIN(", ",TRUE,
IF(E591&lt;&gt;"",E591&amp;K591,""),
IF(F591&lt;&gt;"",F591&amp;K591,""),
IF(G591&lt;&gt;"",G591&amp;K591,"")
))</f>
        <v/>
      </c>
      <c r="AA1068">
        <f>IF(K591="","",IF(K591="TABLE","",K591))</f>
        <v/>
      </c>
      <c r="AB1068">
        <f>IF(ISNUMBER(SEARCH("기존변경필요",SUBSTITUTE(TRIM(V591),CHAR(10)," "))),"",
IFERROR(
  _xlfn.XLOOKUP(AA591,'기존 end point'!B:B,'기존 end point'!B:B,,0),
""))</f>
        <v/>
      </c>
    </row>
    <row r="1069">
      <c r="A1069" t="n">
        <v>590</v>
      </c>
      <c r="B1069" t="inlineStr">
        <is>
          <t>civil-nx/gen-nx</t>
        </is>
      </c>
      <c r="C1069" t="inlineStr">
        <is>
          <t>Heat of Hydration</t>
        </is>
      </c>
      <c r="D1069" t="inlineStr">
        <is>
          <t>Heat of Hydration</t>
        </is>
      </c>
      <c r="E1069" t="inlineStr">
        <is>
          <t>Temperature</t>
        </is>
      </c>
      <c r="T1069" t="inlineStr">
        <is>
          <t>none</t>
        </is>
      </c>
      <c r="Z1069">
        <f>IF(OR(K592="",K592="TABLE"),"",
_xlfn.TEXTJOIN(", ",TRUE,
IF(E592&lt;&gt;"",E592&amp;K592,""),
IF(F592&lt;&gt;"",F592&amp;K592,""),
IF(G592&lt;&gt;"",G592&amp;K592,"")
))</f>
        <v/>
      </c>
      <c r="AA1069">
        <f>IF(K592="","",IF(K592="TABLE","",K592))</f>
        <v/>
      </c>
      <c r="AB1069">
        <f>IF(ISNUMBER(SEARCH("기존변경필요",SUBSTITUTE(TRIM(V592),CHAR(10)," "))),"",
IFERROR(
  _xlfn.XLOOKUP(AA592,'기존 end point'!B:B,'기존 end point'!B:B,,0),
""))</f>
        <v/>
      </c>
    </row>
    <row r="1070">
      <c r="A1070" t="n">
        <v>591</v>
      </c>
      <c r="B1070" t="inlineStr">
        <is>
          <t>civil-nx/gen-nx</t>
        </is>
      </c>
      <c r="C1070" t="inlineStr">
        <is>
          <t>Heat of Hydration</t>
        </is>
      </c>
      <c r="D1070" t="inlineStr">
        <is>
          <t>Heat of Hydration</t>
        </is>
      </c>
      <c r="E1070" t="inlineStr">
        <is>
          <t>Displacements</t>
        </is>
      </c>
      <c r="T1070" t="inlineStr">
        <is>
          <t>none</t>
        </is>
      </c>
      <c r="Z1070">
        <f>IF(OR(K593="",K593="TABLE"),"",
_xlfn.TEXTJOIN(", ",TRUE,
IF(E593&lt;&gt;"",E593&amp;K593,""),
IF(F593&lt;&gt;"",F593&amp;K593,""),
IF(G593&lt;&gt;"",G593&amp;K593,"")
))</f>
        <v/>
      </c>
      <c r="AA1070">
        <f>IF(K593="","",IF(K593="TABLE","",K593))</f>
        <v/>
      </c>
      <c r="AB1070">
        <f>IF(ISNUMBER(SEARCH("기존변경필요",SUBSTITUTE(TRIM(V593),CHAR(10)," "))),"",
IFERROR(
  _xlfn.XLOOKUP(AA593,'기존 end point'!B:B,'기존 end point'!B:B,,0),
""))</f>
        <v/>
      </c>
    </row>
    <row r="1071">
      <c r="A1071" t="n">
        <v>592</v>
      </c>
      <c r="B1071" t="inlineStr">
        <is>
          <t>civil-nx/gen-nx</t>
        </is>
      </c>
      <c r="C1071" t="inlineStr">
        <is>
          <t>Heat of Hydration</t>
        </is>
      </c>
      <c r="D1071" t="inlineStr">
        <is>
          <t>Heat of Hydration</t>
        </is>
      </c>
      <c r="E1071" t="inlineStr">
        <is>
          <t>Allowable Tensile Stress</t>
        </is>
      </c>
      <c r="T1071" t="inlineStr">
        <is>
          <t>none</t>
        </is>
      </c>
      <c r="Z1071">
        <f>IF(OR(K594="",K594="TABLE"),"",
_xlfn.TEXTJOIN(", ",TRUE,
IF(E594&lt;&gt;"",E594&amp;K594,""),
IF(F594&lt;&gt;"",F594&amp;K594,""),
IF(G594&lt;&gt;"",G594&amp;K594,"")
))</f>
        <v/>
      </c>
      <c r="AA1071">
        <f>IF(K594="","",IF(K594="TABLE","",K594))</f>
        <v/>
      </c>
      <c r="AB1071">
        <f>IF(ISNUMBER(SEARCH("기존변경필요",SUBSTITUTE(TRIM(V594),CHAR(10)," "))),"",
IFERROR(
  _xlfn.XLOOKUP(AA594,'기존 end point'!B:B,'기존 end point'!B:B,,0),
""))</f>
        <v/>
      </c>
    </row>
    <row r="1072">
      <c r="A1072" t="n">
        <v>593</v>
      </c>
      <c r="B1072" t="inlineStr">
        <is>
          <t>civil-nx/gen-nx</t>
        </is>
      </c>
      <c r="C1072" t="inlineStr">
        <is>
          <t>Heat of Hydration</t>
        </is>
      </c>
      <c r="D1072" t="inlineStr">
        <is>
          <t>Heat of Hydration</t>
        </is>
      </c>
      <c r="E1072" t="inlineStr">
        <is>
          <t>Crack Ratio</t>
        </is>
      </c>
      <c r="T1072" t="inlineStr">
        <is>
          <t>none</t>
        </is>
      </c>
      <c r="Z1072">
        <f>IF(OR(K595="",K595="TABLE"),"",
_xlfn.TEXTJOIN(", ",TRUE,
IF(E595&lt;&gt;"",E595&amp;K595,""),
IF(F595&lt;&gt;"",F595&amp;K595,""),
IF(G595&lt;&gt;"",G595&amp;K595,"")
))</f>
        <v/>
      </c>
      <c r="AA1072">
        <f>IF(K595="","",IF(K595="TABLE","",K595))</f>
        <v/>
      </c>
      <c r="AB1072">
        <f>IF(ISNUMBER(SEARCH("기존변경필요",SUBSTITUTE(TRIM(V595),CHAR(10)," "))),"",
IFERROR(
  _xlfn.XLOOKUP(AA595,'기존 end point'!B:B,'기존 end point'!B:B,,0),
""))</f>
        <v/>
      </c>
    </row>
    <row r="1073">
      <c r="A1073" t="n">
        <v>594</v>
      </c>
      <c r="B1073" t="inlineStr">
        <is>
          <t>civil-nx/gen-nx</t>
        </is>
      </c>
      <c r="C1073" t="inlineStr">
        <is>
          <t>Heat of Hydration</t>
        </is>
      </c>
      <c r="D1073" t="inlineStr">
        <is>
          <t>Heat of Hydration</t>
        </is>
      </c>
      <c r="E1073" t="inlineStr">
        <is>
          <t>Graph</t>
        </is>
      </c>
      <c r="T1073" t="inlineStr">
        <is>
          <t>none</t>
        </is>
      </c>
      <c r="Z1073">
        <f>IF(OR(K596="",K596="TABLE"),"",
_xlfn.TEXTJOIN(", ",TRUE,
IF(E596&lt;&gt;"",E596&amp;K596,""),
IF(F596&lt;&gt;"",F596&amp;K596,""),
IF(G596&lt;&gt;"",G596&amp;K596,"")
))</f>
        <v/>
      </c>
      <c r="AA1073">
        <f>IF(K596="","",IF(K596="TABLE","",K596))</f>
        <v/>
      </c>
      <c r="AB1073">
        <f>IF(ISNUMBER(SEARCH("기존변경필요",SUBSTITUTE(TRIM(V596),CHAR(10)," "))),"",
IFERROR(
  _xlfn.XLOOKUP(AA596,'기존 end point'!B:B,'기존 end point'!B:B,,0),
""))</f>
        <v/>
      </c>
    </row>
    <row r="1074">
      <c r="A1074" t="n">
        <v>595</v>
      </c>
      <c r="B1074" t="inlineStr">
        <is>
          <t>civil-nx/gen-nx</t>
        </is>
      </c>
      <c r="C1074" t="inlineStr">
        <is>
          <t>Heat of Hydration</t>
        </is>
      </c>
      <c r="D1074" t="inlineStr">
        <is>
          <t>Table</t>
        </is>
      </c>
      <c r="E1074" t="inlineStr">
        <is>
          <t>Result</t>
        </is>
      </c>
      <c r="F1074" t="inlineStr">
        <is>
          <t>Stress</t>
        </is>
      </c>
      <c r="T1074" t="inlineStr">
        <is>
          <t>none</t>
        </is>
      </c>
      <c r="Z1074">
        <f>IF(OR(K597="",K597="TABLE"),"",
_xlfn.TEXTJOIN(", ",TRUE,
IF(E597&lt;&gt;"",E597&amp;K597,""),
IF(F597&lt;&gt;"",F597&amp;K597,""),
IF(G597&lt;&gt;"",G597&amp;K597,"")
))</f>
        <v/>
      </c>
      <c r="AA1074">
        <f>IF(K597="","",IF(K597="TABLE","",K597))</f>
        <v/>
      </c>
      <c r="AB1074">
        <f>IF(ISNUMBER(SEARCH("기존변경필요",SUBSTITUTE(TRIM(V597),CHAR(10)," "))),"",
IFERROR(
  _xlfn.XLOOKUP(AA597,'기존 end point'!B:B,'기존 end point'!B:B,,0),
""))</f>
        <v/>
      </c>
    </row>
    <row r="1075">
      <c r="A1075" t="n">
        <v>596</v>
      </c>
      <c r="B1075" t="inlineStr">
        <is>
          <t>civil-nx/gen-nx</t>
        </is>
      </c>
      <c r="C1075" t="inlineStr">
        <is>
          <t>Heat of Hydration</t>
        </is>
      </c>
      <c r="D1075" t="inlineStr">
        <is>
          <t>Table</t>
        </is>
      </c>
      <c r="E1075" t="inlineStr">
        <is>
          <t>Result</t>
        </is>
      </c>
      <c r="F1075" t="inlineStr">
        <is>
          <t>Temperature</t>
        </is>
      </c>
      <c r="T1075" t="inlineStr">
        <is>
          <t>none</t>
        </is>
      </c>
      <c r="Z1075">
        <f>IF(OR(K598="",K598="TABLE"),"",
_xlfn.TEXTJOIN(", ",TRUE,
IF(E598&lt;&gt;"",E598&amp;K598,""),
IF(F598&lt;&gt;"",F598&amp;K598,""),
IF(G598&lt;&gt;"",G598&amp;K598,"")
))</f>
        <v/>
      </c>
      <c r="AA1075">
        <f>IF(K598="","",IF(K598="TABLE","",K598))</f>
        <v/>
      </c>
      <c r="AB1075">
        <f>IF(ISNUMBER(SEARCH("기존변경필요",SUBSTITUTE(TRIM(V598),CHAR(10)," "))),"",
IFERROR(
  _xlfn.XLOOKUP(AA598,'기존 end point'!B:B,'기존 end point'!B:B,,0),
""))</f>
        <v/>
      </c>
    </row>
    <row r="1076">
      <c r="A1076" t="n">
        <v>597</v>
      </c>
      <c r="B1076" t="inlineStr">
        <is>
          <t>civil-nx/gen-nx</t>
        </is>
      </c>
      <c r="C1076" t="inlineStr">
        <is>
          <t>Heat of Hydration</t>
        </is>
      </c>
      <c r="D1076" t="inlineStr">
        <is>
          <t>Table</t>
        </is>
      </c>
      <c r="E1076" t="inlineStr">
        <is>
          <t>Result</t>
        </is>
      </c>
      <c r="F1076" t="inlineStr">
        <is>
          <t>Displacements</t>
        </is>
      </c>
      <c r="T1076" t="inlineStr">
        <is>
          <t>none</t>
        </is>
      </c>
      <c r="Z1076">
        <f>IF(OR(K599="",K599="TABLE"),"",
_xlfn.TEXTJOIN(", ",TRUE,
IF(E599&lt;&gt;"",E599&amp;K599,""),
IF(F599&lt;&gt;"",F599&amp;K599,""),
IF(G599&lt;&gt;"",G599&amp;K599,"")
))</f>
        <v/>
      </c>
      <c r="AA1076">
        <f>IF(K599="","",IF(K599="TABLE","",K599))</f>
        <v/>
      </c>
      <c r="AB1076">
        <f>IF(ISNUMBER(SEARCH("기존변경필요",SUBSTITUTE(TRIM(V599),CHAR(10)," "))),"",
IFERROR(
  _xlfn.XLOOKUP(AA599,'기존 end point'!B:B,'기존 end point'!B:B,,0),
""))</f>
        <v/>
      </c>
    </row>
    <row r="1077">
      <c r="A1077" t="n">
        <v>598</v>
      </c>
      <c r="B1077" t="inlineStr">
        <is>
          <t>civil-nx/gen-nx</t>
        </is>
      </c>
      <c r="C1077" t="inlineStr">
        <is>
          <t>Heat of Hydration</t>
        </is>
      </c>
      <c r="D1077" t="inlineStr">
        <is>
          <t>Table</t>
        </is>
      </c>
      <c r="E1077" t="inlineStr">
        <is>
          <t>Result</t>
        </is>
      </c>
      <c r="F1077" t="inlineStr">
        <is>
          <t>Allowable Tensile Stress</t>
        </is>
      </c>
      <c r="T1077" t="inlineStr">
        <is>
          <t>none</t>
        </is>
      </c>
      <c r="Z1077">
        <f>IF(OR(K600="",K600="TABLE"),"",
_xlfn.TEXTJOIN(", ",TRUE,
IF(E600&lt;&gt;"",E600&amp;K600,""),
IF(F600&lt;&gt;"",F600&amp;K600,""),
IF(G600&lt;&gt;"",G600&amp;K600,"")
))</f>
        <v/>
      </c>
      <c r="AA1077">
        <f>IF(K600="","",IF(K600="TABLE","",K600))</f>
        <v/>
      </c>
      <c r="AB1077">
        <f>IF(ISNUMBER(SEARCH("기존변경필요",SUBSTITUTE(TRIM(V600),CHAR(10)," "))),"",
IFERROR(
  _xlfn.XLOOKUP(AA600,'기존 end point'!B:B,'기존 end point'!B:B,,0),
""))</f>
        <v/>
      </c>
    </row>
    <row r="1078">
      <c r="A1078" t="n">
        <v>599</v>
      </c>
      <c r="B1078" t="inlineStr">
        <is>
          <t>civil-nx/gen-nx</t>
        </is>
      </c>
      <c r="C1078" t="inlineStr">
        <is>
          <t>Heat of Hydration</t>
        </is>
      </c>
      <c r="D1078" t="inlineStr">
        <is>
          <t>Table</t>
        </is>
      </c>
      <c r="E1078" t="inlineStr">
        <is>
          <t>Result</t>
        </is>
      </c>
      <c r="F1078" t="inlineStr">
        <is>
          <t>Pipe Cooling Nodal Temperature</t>
        </is>
      </c>
      <c r="T1078" t="inlineStr">
        <is>
          <t>none</t>
        </is>
      </c>
      <c r="Z1078">
        <f>IF(OR(K601="",K601="TABLE"),"",
_xlfn.TEXTJOIN(", ",TRUE,
IF(E601&lt;&gt;"",E601&amp;K601,""),
IF(F601&lt;&gt;"",F601&amp;K601,""),
IF(G601&lt;&gt;"",G601&amp;K601,"")
))</f>
        <v/>
      </c>
      <c r="AA1078">
        <f>IF(K601="","",IF(K601="TABLE","",K601))</f>
        <v/>
      </c>
      <c r="AB1078">
        <f>IF(ISNUMBER(SEARCH("기존변경필요",SUBSTITUTE(TRIM(V601),CHAR(10)," "))),"",
IFERROR(
  _xlfn.XLOOKUP(AA601,'기존 end point'!B:B,'기존 end point'!B:B,,0),
""))</f>
        <v/>
      </c>
    </row>
    <row r="1079">
      <c r="A1079" t="n">
        <v>600</v>
      </c>
      <c r="T1079" t="inlineStr">
        <is>
          <t>none</t>
        </is>
      </c>
      <c r="Z1079">
        <f>IF(OR(K602="",K602="TABLE"),"",
_xlfn.TEXTJOIN(", ",TRUE,
IF(E602&lt;&gt;"",E602&amp;K602,""),
IF(F602&lt;&gt;"",F602&amp;K602,""),
IF(G602&lt;&gt;"",G602&amp;K602,"")
))</f>
        <v/>
      </c>
      <c r="AA1079">
        <f>IF(K602="","",IF(K602="TABLE","",K602))</f>
        <v/>
      </c>
      <c r="AB1079">
        <f>IF(ISNUMBER(SEARCH("기존변경필요",SUBSTITUTE(TRIM(V602),CHAR(10)," "))),"",
IFERROR(
  _xlfn.XLOOKUP(AA602,'기존 end point'!B:B,'기존 end point'!B:B,,0),
""))</f>
        <v/>
      </c>
    </row>
    <row r="1080">
      <c r="A1080" t="n">
        <v>602</v>
      </c>
      <c r="B1080" s="1" t="n"/>
      <c r="C1080" s="1" t="inlineStr">
        <is>
          <t>Steel Design</t>
        </is>
      </c>
      <c r="D1080" s="1" t="inlineStr">
        <is>
          <t>Design Input Data</t>
        </is>
      </c>
      <c r="E1080" s="2" t="inlineStr">
        <is>
          <t>Design Code Option</t>
        </is>
      </c>
      <c r="F1080" s="2" t="n"/>
      <c r="G1080" s="2" t="n"/>
      <c r="H1080" s="2" t="inlineStr">
        <is>
          <t>DESIGN</t>
        </is>
      </c>
      <c r="I1080" s="2" t="inlineStr">
        <is>
          <t>STEEL</t>
        </is>
      </c>
      <c r="J1080" s="2" t="inlineStr">
        <is>
          <t>KDS-41-30-2022</t>
        </is>
      </c>
      <c r="K1080" s="2" t="inlineStr">
        <is>
          <t>DCO</t>
        </is>
      </c>
      <c r="L1080" s="2">
        <f>_xlfn.TEXTJOIN("/",TRUE,H603,I603,J603,K603)</f>
        <v/>
      </c>
      <c r="M1080" s="2" t="n"/>
      <c r="N1080" s="2" t="inlineStr">
        <is>
          <t>done</t>
        </is>
      </c>
      <c r="O1080" s="2" t="n"/>
      <c r="P1080" s="3" t="inlineStr">
        <is>
          <t>progress</t>
        </is>
      </c>
      <c r="Q1080" s="2" t="n"/>
      <c r="R1080" s="2" t="n"/>
      <c r="S1080" s="2" t="n"/>
      <c r="T1080" s="2" t="inlineStr">
        <is>
          <t>progress</t>
        </is>
      </c>
      <c r="U1080" s="2" t="inlineStr">
        <is>
          <t>기획</t>
        </is>
      </c>
      <c r="V1080" s="1" t="n">
        <v>1</v>
      </c>
      <c r="X1080" s="4" t="inlineStr">
        <is>
          <t>get, put 만 가능(T_DSTL_D)</t>
        </is>
      </c>
      <c r="Z1080">
        <f>IF(OR(K603="",K603="TABLE"),"",
_xlfn.TEXTJOIN(", ",TRUE,
IF(E603&lt;&gt;"",E603&amp;K603,""),
IF(F603&lt;&gt;"",F603&amp;K603,""),
IF(G603&lt;&gt;"",G603&amp;K603,"")
))</f>
        <v/>
      </c>
      <c r="AA1080">
        <f>IF(K603="","",IF(K603="TABLE","",K603))</f>
        <v/>
      </c>
      <c r="AB1080">
        <f>IF(ISNUMBER(SEARCH("기존변경필요",SUBSTITUTE(TRIM(V603),CHAR(10)," "))),"",
IFERROR(
  _xlfn.XLOOKUP(AA603,'기존 end point'!B:B,'기존 end point'!B:B,,0),
""))</f>
        <v/>
      </c>
    </row>
    <row r="1081">
      <c r="A1081" t="n">
        <v>603</v>
      </c>
      <c r="B1081" s="1" t="n"/>
      <c r="C1081" s="1" t="inlineStr">
        <is>
          <t>Steel Design</t>
        </is>
      </c>
      <c r="D1081" s="1" t="inlineStr">
        <is>
          <t>Design Input Data</t>
        </is>
      </c>
      <c r="E1081" s="1" t="inlineStr">
        <is>
          <t>Design Parameters</t>
        </is>
      </c>
      <c r="F1081" s="1" t="inlineStr">
        <is>
          <t>Definition of Frame</t>
        </is>
      </c>
      <c r="G1081" s="1" t="n"/>
      <c r="H1081" s="1" t="inlineStr">
        <is>
          <t>DESIGN</t>
        </is>
      </c>
      <c r="I1081" s="1" t="inlineStr">
        <is>
          <t>STEEL</t>
        </is>
      </c>
      <c r="J1081" s="1">
        <f>J603</f>
        <v/>
      </c>
      <c r="K1081" s="1">
        <f>_xlfn.XLOOKUP(F604,'PARAMETER 공통'!$B$4:$B$53,'PARAMETER 공통'!$D$4:$D$53,,0,1)</f>
        <v/>
      </c>
      <c r="L1081" s="1">
        <f>_xlfn.TEXTJOIN("/",TRUE,H604,I604,J604,K604)</f>
        <v/>
      </c>
      <c r="M1081" s="1" t="n"/>
      <c r="N1081" s="1" t="inlineStr">
        <is>
          <t>done</t>
        </is>
      </c>
      <c r="O1081" s="1" t="inlineStr">
        <is>
          <t>done</t>
        </is>
      </c>
      <c r="P1081" s="3" t="inlineStr">
        <is>
          <t>progress</t>
        </is>
      </c>
      <c r="Q1081" s="1" t="n"/>
      <c r="R1081" s="1" t="n"/>
      <c r="S1081" s="1" t="inlineStr">
        <is>
          <t>warning</t>
        </is>
      </c>
      <c r="T1081" s="1" t="inlineStr">
        <is>
          <t>Done</t>
        </is>
      </c>
      <c r="U1081" s="1" t="n"/>
      <c r="V1081" s="1" t="inlineStr">
        <is>
          <t>기존변경필요</t>
        </is>
      </c>
      <c r="X1081" s="4" t="inlineStr">
        <is>
          <t>get, put 만 가능 (T_DCTL_D)</t>
        </is>
      </c>
      <c r="Z1081">
        <f>IF(OR(K604="",K604="TABLE"),"",
_xlfn.TEXTJOIN(", ",TRUE,
IF(E604&lt;&gt;"",E604&amp;K604,""),
IF(F604&lt;&gt;"",F604&amp;K604,""),
IF(G604&lt;&gt;"",G604&amp;K604,"")
))</f>
        <v/>
      </c>
      <c r="AA1081">
        <f>IF(K604="","",IF(K604="TABLE","",K604))</f>
        <v/>
      </c>
      <c r="AB1081">
        <f>IF(ISNUMBER(SEARCH("기존변경필요",SUBSTITUTE(TRIM(V604),CHAR(10)," "))),"",
IFERROR(
  _xlfn.XLOOKUP(AA604,'기존 end point'!B:B,'기존 end point'!B:B,,0),
""))</f>
        <v/>
      </c>
    </row>
    <row r="1082">
      <c r="A1082" t="n">
        <v>604</v>
      </c>
      <c r="B1082" s="1" t="n"/>
      <c r="C1082" s="1" t="inlineStr">
        <is>
          <t>Steel Design</t>
        </is>
      </c>
      <c r="D1082" s="1" t="inlineStr">
        <is>
          <t>Design Input Data</t>
        </is>
      </c>
      <c r="E1082" s="2" t="inlineStr">
        <is>
          <t>Design Parameters</t>
        </is>
      </c>
      <c r="F1082" s="2" t="inlineStr">
        <is>
          <t>Live Load Reduction Factor</t>
        </is>
      </c>
      <c r="G1082" s="2" t="n"/>
      <c r="H1082" s="2" t="inlineStr">
        <is>
          <t>DESIGN</t>
        </is>
      </c>
      <c r="I1082" s="2" t="inlineStr">
        <is>
          <t>STEEL</t>
        </is>
      </c>
      <c r="J1082" s="2">
        <f>J604</f>
        <v/>
      </c>
      <c r="K1082" s="2">
        <f>_xlfn.XLOOKUP(F605,'PARAMETER 공통'!$B$4:$B$53,'PARAMETER 공통'!$D$4:$D$53,,0,1)</f>
        <v/>
      </c>
      <c r="L1082" s="2">
        <f>_xlfn.TEXTJOIN("/",TRUE,H605,I605,J605,K605)</f>
        <v/>
      </c>
      <c r="M1082" s="2" t="n"/>
      <c r="N1082" s="2" t="inlineStr">
        <is>
          <t>done</t>
        </is>
      </c>
      <c r="O1082" s="2" t="n"/>
      <c r="P1082" s="3" t="inlineStr">
        <is>
          <t>progress</t>
        </is>
      </c>
      <c r="Q1082" s="2" t="n"/>
      <c r="R1082" s="2" t="n"/>
      <c r="S1082" s="2" t="n"/>
      <c r="T1082" s="2" t="inlineStr">
        <is>
          <t>progress</t>
        </is>
      </c>
      <c r="U1082" s="2" t="inlineStr">
        <is>
          <t>기획</t>
        </is>
      </c>
      <c r="V1082" s="1" t="n">
        <v>1</v>
      </c>
      <c r="W1082" s="5" t="inlineStr">
        <is>
          <t>https://manual.midasuser.com/KR/Gen/935/Live_Load_Reduction_Factor.htm</t>
        </is>
      </c>
      <c r="X1082" s="4" t="inlineStr">
        <is>
          <t>get, put 만 가능  (T_DCTL_D)</t>
        </is>
      </c>
      <c r="Z1082">
        <f>IF(OR(K605="",K605="TABLE"),"",
_xlfn.TEXTJOIN(", ",TRUE,
IF(E605&lt;&gt;"",E605&amp;K605,""),
IF(F605&lt;&gt;"",F605&amp;K605,""),
IF(G605&lt;&gt;"",G605&amp;K605,"")
))</f>
        <v/>
      </c>
      <c r="AA1082">
        <f>IF(K605="","",IF(K605="TABLE","",K605))</f>
        <v/>
      </c>
      <c r="AB1082">
        <f>IF(ISNUMBER(SEARCH("기존변경필요",SUBSTITUTE(TRIM(V605),CHAR(10)," "))),"",
IFERROR(
  _xlfn.XLOOKUP(AA605,'기존 end point'!B:B,'기존 end point'!B:B,,0),
""))</f>
        <v/>
      </c>
    </row>
    <row r="1083">
      <c r="A1083" s="6" t="n">
        <v>605</v>
      </c>
      <c r="B1083" s="7" t="n"/>
      <c r="C1083" s="7" t="inlineStr">
        <is>
          <t>Steel Design</t>
        </is>
      </c>
      <c r="D1083" s="7" t="inlineStr">
        <is>
          <t>Design Input Data</t>
        </is>
      </c>
      <c r="E1083" s="8" t="inlineStr">
        <is>
          <t>Design Parameters</t>
        </is>
      </c>
      <c r="F1083" s="8" t="inlineStr">
        <is>
          <t>Short/Long term Load Case</t>
        </is>
      </c>
      <c r="G1083" s="8" t="n"/>
      <c r="H1083" s="8" t="n"/>
      <c r="I1083" s="8" t="n"/>
      <c r="J1083" s="7" t="n"/>
      <c r="K1083" s="7" t="n"/>
      <c r="L1083" s="7" t="n"/>
      <c r="M1083" s="8" t="n"/>
      <c r="N1083" s="8" t="n"/>
      <c r="O1083" s="8" t="n"/>
      <c r="P1083" s="8" t="n"/>
      <c r="Q1083" s="8" t="n"/>
      <c r="R1083" s="8" t="n"/>
      <c r="S1083" s="8" t="n"/>
      <c r="T1083" s="9" t="inlineStr">
        <is>
          <t>cancel</t>
        </is>
      </c>
      <c r="U1083" s="8" t="n"/>
      <c r="V1083" s="10" t="n"/>
      <c r="W1083" s="5" t="inlineStr">
        <is>
          <t>https://support.midasuser.com/hc/ko/articles/24184059646233-Short-Long-Term-Load-Case</t>
        </is>
      </c>
      <c r="Z1083">
        <f>IF(OR(K606="",K606="TABLE"),"",
_xlfn.TEXTJOIN(", ",TRUE,
IF(E606&lt;&gt;"",E606&amp;K606,""),
IF(F606&lt;&gt;"",F606&amp;K606,""),
IF(G606&lt;&gt;"",G606&amp;K606,"")
))</f>
        <v/>
      </c>
      <c r="AA1083">
        <f>IF(K606="","",IF(K606="TABLE","",K606))</f>
        <v/>
      </c>
      <c r="AB1083">
        <f>IF(ISNUMBER(SEARCH("기존변경필요",SUBSTITUTE(TRIM(V606),CHAR(10)," "))),"",
IFERROR(
  _xlfn.XLOOKUP(AA606,'기존 end point'!B:B,'기존 end point'!B:B,,0),
""))</f>
        <v/>
      </c>
    </row>
    <row r="1084">
      <c r="A1084" s="6" t="n">
        <v>606</v>
      </c>
      <c r="B1084" s="7" t="n"/>
      <c r="C1084" s="7" t="inlineStr">
        <is>
          <t>Steel Design</t>
        </is>
      </c>
      <c r="D1084" s="7" t="inlineStr">
        <is>
          <t>Design Input Data</t>
        </is>
      </c>
      <c r="E1084" s="8" t="inlineStr">
        <is>
          <t>Design Parameters</t>
        </is>
      </c>
      <c r="F1084" s="8" t="inlineStr">
        <is>
          <t>Serviceability Load Combination Type</t>
        </is>
      </c>
      <c r="G1084" s="8" t="n"/>
      <c r="H1084" s="8" t="n"/>
      <c r="I1084" s="8" t="n"/>
      <c r="J1084" s="7" t="n"/>
      <c r="K1084" s="7" t="n"/>
      <c r="L1084" s="7" t="n"/>
      <c r="M1084" s="8" t="n"/>
      <c r="N1084" s="8" t="n"/>
      <c r="O1084" s="8" t="n"/>
      <c r="P1084" s="8" t="n"/>
      <c r="Q1084" s="8" t="n"/>
      <c r="R1084" s="8" t="n"/>
      <c r="S1084" s="8" t="n"/>
      <c r="T1084" s="9" t="inlineStr">
        <is>
          <t>cancel</t>
        </is>
      </c>
      <c r="U1084" s="8" t="n"/>
      <c r="V1084" s="10" t="n"/>
      <c r="Z1084">
        <f>IF(OR(K607="",K607="TABLE"),"",
_xlfn.TEXTJOIN(", ",TRUE,
IF(E607&lt;&gt;"",E607&amp;K607,""),
IF(F607&lt;&gt;"",F607&amp;K607,""),
IF(G607&lt;&gt;"",G607&amp;K607,"")
))</f>
        <v/>
      </c>
      <c r="AA1084">
        <f>IF(K607="","",IF(K607="TABLE","",K607))</f>
        <v/>
      </c>
      <c r="AB1084">
        <f>IF(ISNUMBER(SEARCH("기존변경필요",SUBSTITUTE(TRIM(V607),CHAR(10)," "))),"",
IFERROR(
  _xlfn.XLOOKUP(AA607,'기존 end point'!B:B,'기존 end point'!B:B,,0),
""))</f>
        <v/>
      </c>
    </row>
    <row r="1085">
      <c r="A1085" t="n">
        <v>607</v>
      </c>
      <c r="B1085" s="1" t="n"/>
      <c r="C1085" s="1" t="inlineStr">
        <is>
          <t>Steel Design</t>
        </is>
      </c>
      <c r="D1085" s="1" t="inlineStr">
        <is>
          <t>Design Input Data</t>
        </is>
      </c>
      <c r="E1085" s="1" t="inlineStr">
        <is>
          <t>Design Parameters</t>
        </is>
      </c>
      <c r="F1085" s="1" t="inlineStr">
        <is>
          <t>Load Contribution for Nonlinear Load Case</t>
        </is>
      </c>
      <c r="G1085" s="2" t="n"/>
      <c r="H1085" s="1" t="inlineStr">
        <is>
          <t>DESIGN</t>
        </is>
      </c>
      <c r="I1085" s="1" t="inlineStr">
        <is>
          <t>STEEL</t>
        </is>
      </c>
      <c r="J1085" s="1" t="inlineStr">
        <is>
          <t>KDS-41-30-2022</t>
        </is>
      </c>
      <c r="K1085" s="1">
        <f>_xlfn.XLOOKUP(F608,'PARAMETER 공통'!$B$4:$B$53,'PARAMETER 공통'!$D$4:$D$53,,0,1)</f>
        <v/>
      </c>
      <c r="L1085" s="1">
        <f>_xlfn.TEXTJOIN("/",TRUE,H608,I608,J608,K608)</f>
        <v/>
      </c>
      <c r="M1085" s="1" t="n"/>
      <c r="N1085" s="1" t="n"/>
      <c r="O1085" s="1" t="n"/>
      <c r="P1085" s="3" t="inlineStr">
        <is>
          <t>progress</t>
        </is>
      </c>
      <c r="Q1085" s="1" t="n"/>
      <c r="R1085" s="1" t="n"/>
      <c r="S1085" s="1" t="n"/>
      <c r="T1085" s="1" t="inlineStr">
        <is>
          <t>progress</t>
        </is>
      </c>
      <c r="U1085" s="1" t="inlineStr">
        <is>
          <t>개발</t>
        </is>
      </c>
      <c r="V1085" s="1" t="n">
        <v>1</v>
      </c>
      <c r="W1085" s="5" t="inlineStr">
        <is>
          <t>https://support.midasuser.com/hc/ko/articles/24183875280281-Load-Contribution-for-Nonlinear-Load-Case</t>
        </is>
      </c>
      <c r="X1085" s="4" t="inlineStr">
        <is>
          <t>LCLC -&gt; LCTB  UI기능상 get, delete 만 가능</t>
        </is>
      </c>
      <c r="Z1085">
        <f>IF(OR(K608="",K608="TABLE"),"",
_xlfn.TEXTJOIN(", ",TRUE,
IF(E608&lt;&gt;"",E608&amp;K608,""),
IF(F608&lt;&gt;"",F608&amp;K608,""),
IF(G608&lt;&gt;"",G608&amp;K608,"")
))</f>
        <v/>
      </c>
      <c r="AA1085">
        <f>IF(K608="","",IF(K608="TABLE","",K608))</f>
        <v/>
      </c>
      <c r="AB1085">
        <f>IF(ISNUMBER(SEARCH("기존변경필요",SUBSTITUTE(TRIM(V608),CHAR(10)," "))),"",
IFERROR(
  _xlfn.XLOOKUP(AA608,'기존 end point'!B:B,'기존 end point'!B:B,,0),
""))</f>
        <v/>
      </c>
    </row>
    <row r="1086">
      <c r="A1086" t="n">
        <v>608</v>
      </c>
      <c r="B1086" s="1" t="n"/>
      <c r="C1086" s="1" t="inlineStr">
        <is>
          <t>Steel Design</t>
        </is>
      </c>
      <c r="D1086" s="1" t="inlineStr">
        <is>
          <t>Design Input Data</t>
        </is>
      </c>
      <c r="E1086" s="1" t="inlineStr">
        <is>
          <t>Design Parameters</t>
        </is>
      </c>
      <c r="F1086" s="1" t="inlineStr">
        <is>
          <t>Member Assignment</t>
        </is>
      </c>
      <c r="G1086" s="2" t="n"/>
      <c r="H1086" s="1" t="inlineStr">
        <is>
          <t>DESIGN</t>
        </is>
      </c>
      <c r="I1086" s="1" t="inlineStr">
        <is>
          <t>STEEL</t>
        </is>
      </c>
      <c r="J1086" s="1" t="inlineStr">
        <is>
          <t>KDS-41-30-2022</t>
        </is>
      </c>
      <c r="K1086" s="1">
        <f>_xlfn.XLOOKUP(F609,'PARAMETER 공통'!$B$4:$B$53,'PARAMETER 공통'!$D$4:$D$53,,0,1)</f>
        <v/>
      </c>
      <c r="L1086" s="1">
        <f>_xlfn.TEXTJOIN("/",TRUE,H609,I609,J609,K609)</f>
        <v/>
      </c>
      <c r="M1086" s="1" t="n"/>
      <c r="N1086" s="1" t="inlineStr">
        <is>
          <t>done</t>
        </is>
      </c>
      <c r="O1086" s="1" t="inlineStr">
        <is>
          <t>done</t>
        </is>
      </c>
      <c r="P1086" s="3" t="inlineStr">
        <is>
          <t>progress</t>
        </is>
      </c>
      <c r="Q1086" s="1" t="n"/>
      <c r="R1086" s="1" t="n"/>
      <c r="S1086" s="1" t="inlineStr">
        <is>
          <t>warning</t>
        </is>
      </c>
      <c r="T1086" s="1" t="inlineStr">
        <is>
          <t>Done</t>
        </is>
      </c>
      <c r="U1086" s="1" t="n"/>
      <c r="V1086" s="1" t="inlineStr">
        <is>
          <t>기존변경필요</t>
        </is>
      </c>
      <c r="X1086" s="4" t="inlineStr">
        <is>
          <t>논의 필요(T_MEMB_D)</t>
        </is>
      </c>
      <c r="Z1086">
        <f>IF(OR(K609="",K609="TABLE"),"",
_xlfn.TEXTJOIN(", ",TRUE,
IF(E609&lt;&gt;"",E609&amp;K609,""),
IF(F609&lt;&gt;"",F609&amp;K609,""),
IF(G609&lt;&gt;"",G609&amp;K609,"")
))</f>
        <v/>
      </c>
      <c r="AA1086">
        <f>IF(K609="","",IF(K609="TABLE","",K609))</f>
        <v/>
      </c>
      <c r="AB1086">
        <f>IF(ISNUMBER(SEARCH("기존변경필요",SUBSTITUTE(TRIM(V609),CHAR(10)," "))),"",
IFERROR(
  _xlfn.XLOOKUP(AA609,'기존 end point'!B:B,'기존 end point'!B:B,,0),
""))</f>
        <v/>
      </c>
    </row>
    <row r="1087">
      <c r="A1087" s="6" t="n">
        <v>609</v>
      </c>
      <c r="B1087" s="7" t="n"/>
      <c r="C1087" s="7" t="inlineStr">
        <is>
          <t>Steel Design</t>
        </is>
      </c>
      <c r="D1087" s="7" t="inlineStr">
        <is>
          <t>Design Input Data</t>
        </is>
      </c>
      <c r="E1087" s="7" t="inlineStr">
        <is>
          <t>Design Parameters</t>
        </is>
      </c>
      <c r="F1087" s="7" t="inlineStr">
        <is>
          <t>Reverse Member Load Direction</t>
        </is>
      </c>
      <c r="G1087" s="7" t="n"/>
      <c r="H1087" s="7" t="inlineStr">
        <is>
          <t>DESIGN</t>
        </is>
      </c>
      <c r="I1087" s="7" t="inlineStr">
        <is>
          <t>STEEL</t>
        </is>
      </c>
      <c r="J1087" s="7" t="inlineStr">
        <is>
          <t>KDS-41-30-2022</t>
        </is>
      </c>
      <c r="K1087" s="7">
        <f>_xlfn.XLOOKUP(F610,'PARAMETER 공통'!$B$4:$B$53,'PARAMETER 공통'!$D$4:$D$53,,0,1)</f>
        <v/>
      </c>
      <c r="L1087" s="7">
        <f>_xlfn.TEXTJOIN("/",TRUE,H610,I610,J610,K610)</f>
        <v/>
      </c>
      <c r="M1087" s="7" t="n"/>
      <c r="N1087" s="7" t="n"/>
      <c r="O1087" s="7" t="n"/>
      <c r="P1087" s="7" t="n"/>
      <c r="Q1087" s="7" t="n"/>
      <c r="R1087" s="7" t="n"/>
      <c r="S1087" s="7" t="n"/>
      <c r="T1087" s="9" t="inlineStr">
        <is>
          <t>cancel</t>
        </is>
      </c>
      <c r="U1087" s="7" t="inlineStr">
        <is>
          <t>개발</t>
        </is>
      </c>
      <c r="V1087" s="7" t="inlineStr">
        <is>
          <t>MEMB와 동일한 기능</t>
        </is>
      </c>
      <c r="X1087" s="4" t="inlineStr">
        <is>
          <t>논의 필요 get, put 만 가능 (T_MEMB_D)</t>
        </is>
      </c>
      <c r="Z1087">
        <f>IF(OR(K610="",K610="TABLE"),"",
_xlfn.TEXTJOIN(", ",TRUE,
IF(E610&lt;&gt;"",E610&amp;K610,""),
IF(F610&lt;&gt;"",F610&amp;K610,""),
IF(G610&lt;&gt;"",G610&amp;K610,"")
))</f>
        <v/>
      </c>
      <c r="AA1087">
        <f>IF(K610="","",IF(K610="TABLE","",K610))</f>
        <v/>
      </c>
      <c r="AB1087">
        <f>IF(ISNUMBER(SEARCH("기존변경필요",SUBSTITUTE(TRIM(V610),CHAR(10)," "))),"",
IFERROR(
  _xlfn.XLOOKUP(AA610,'기존 end point'!B:B,'기존 end point'!B:B,,0),
""))</f>
        <v/>
      </c>
    </row>
    <row r="1088">
      <c r="A1088" t="n">
        <v>610</v>
      </c>
      <c r="B1088" s="1" t="n"/>
      <c r="C1088" s="1" t="inlineStr">
        <is>
          <t>Steel Design</t>
        </is>
      </c>
      <c r="D1088" s="1" t="inlineStr">
        <is>
          <t>Design Input Data</t>
        </is>
      </c>
      <c r="E1088" s="2" t="inlineStr">
        <is>
          <t>Design Parameters</t>
        </is>
      </c>
      <c r="F1088" s="2" t="inlineStr">
        <is>
          <t>Haunched Beam Assignment</t>
        </is>
      </c>
      <c r="G1088" s="2" t="n"/>
      <c r="H1088" s="2" t="inlineStr">
        <is>
          <t>DESIGN</t>
        </is>
      </c>
      <c r="I1088" s="2" t="inlineStr">
        <is>
          <t>STEEL</t>
        </is>
      </c>
      <c r="J1088" s="2" t="inlineStr">
        <is>
          <t>KDS-41-30-2022</t>
        </is>
      </c>
      <c r="K1088" s="2">
        <f>_xlfn.XLOOKUP(F611,'PARAMETER 공통'!$B$4:$B$53,'PARAMETER 공통'!$D$4:$D$53,,0,1)</f>
        <v/>
      </c>
      <c r="L1088" s="2">
        <f>_xlfn.TEXTJOIN("/",TRUE,H611,I611,J611,K611)</f>
        <v/>
      </c>
      <c r="M1088" s="2" t="n"/>
      <c r="N1088" s="2" t="inlineStr">
        <is>
          <t>done</t>
        </is>
      </c>
      <c r="O1088" s="2" t="n"/>
      <c r="P1088" s="3" t="inlineStr">
        <is>
          <t>progress</t>
        </is>
      </c>
      <c r="Q1088" s="2" t="n"/>
      <c r="R1088" s="2" t="n"/>
      <c r="S1088" s="2" t="n"/>
      <c r="T1088" s="2" t="inlineStr">
        <is>
          <t>progress</t>
        </is>
      </c>
      <c r="U1088" s="2" t="inlineStr">
        <is>
          <t>기획</t>
        </is>
      </c>
      <c r="V1088" s="1" t="n">
        <v>3</v>
      </c>
      <c r="X1088" s="4" t="inlineStr">
        <is>
          <t>HASSIGN → HCBM</t>
        </is>
      </c>
      <c r="Z1088">
        <f>IF(OR(K611="",K611="TABLE"),"",
_xlfn.TEXTJOIN(", ",TRUE,
IF(E611&lt;&gt;"",E611&amp;K611,""),
IF(F611&lt;&gt;"",F611&amp;K611,""),
IF(G611&lt;&gt;"",G611&amp;K611,"")
))</f>
        <v/>
      </c>
      <c r="AA1088">
        <f>IF(K611="","",IF(K611="TABLE","",K611))</f>
        <v/>
      </c>
      <c r="AB1088">
        <f>IF(ISNUMBER(SEARCH("기존변경필요",SUBSTITUTE(TRIM(V611),CHAR(10)," "))),"",
IFERROR(
  _xlfn.XLOOKUP(AA611,'기존 end point'!B:B,'기존 end point'!B:B,,0),
""))</f>
        <v/>
      </c>
    </row>
    <row r="1089">
      <c r="A1089" t="n">
        <v>611</v>
      </c>
      <c r="B1089" s="1" t="n"/>
      <c r="C1089" s="1" t="inlineStr">
        <is>
          <t>Steel Design</t>
        </is>
      </c>
      <c r="D1089" s="1" t="inlineStr">
        <is>
          <t>Design Input Data</t>
        </is>
      </c>
      <c r="E1089" s="1" t="inlineStr">
        <is>
          <t>Design Parameters</t>
        </is>
      </c>
      <c r="F1089" s="1" t="inlineStr">
        <is>
          <t>Unbraced Length (L, Lb)</t>
        </is>
      </c>
      <c r="G1089" s="1" t="n"/>
      <c r="H1089" s="1" t="inlineStr">
        <is>
          <t>DESIGN</t>
        </is>
      </c>
      <c r="I1089" s="1" t="inlineStr">
        <is>
          <t>STEEL</t>
        </is>
      </c>
      <c r="J1089" s="1" t="inlineStr">
        <is>
          <t>KDS-41-30-2022</t>
        </is>
      </c>
      <c r="K1089" s="1">
        <f>_xlfn.XLOOKUP(F612,'PARAMETER 공통'!$B$4:$B$53,'PARAMETER 공통'!$D$4:$D$53,,0,1)</f>
        <v/>
      </c>
      <c r="L1089" s="1">
        <f>_xlfn.TEXTJOIN("/",TRUE,H612,I612,J612,K612)</f>
        <v/>
      </c>
      <c r="M1089" s="1" t="n"/>
      <c r="N1089" s="1" t="inlineStr">
        <is>
          <t>done</t>
        </is>
      </c>
      <c r="O1089" s="1" t="inlineStr">
        <is>
          <t>done</t>
        </is>
      </c>
      <c r="P1089" s="1" t="inlineStr">
        <is>
          <t>done</t>
        </is>
      </c>
      <c r="Q1089" s="1" t="n"/>
      <c r="R1089" s="1" t="n"/>
      <c r="S1089" s="1" t="inlineStr">
        <is>
          <t>warning</t>
        </is>
      </c>
      <c r="T1089" s="1" t="inlineStr">
        <is>
          <t>Done</t>
        </is>
      </c>
      <c r="U1089" s="1" t="n"/>
      <c r="V1089" s="1" t="inlineStr">
        <is>
          <t>기존변경필요</t>
        </is>
      </c>
      <c r="X1089" s="4" t="inlineStr">
        <is>
          <t>LENGH -&gt; LENG</t>
        </is>
      </c>
      <c r="Z1089">
        <f>IF(OR(K612="",K612="TABLE"),"",
_xlfn.TEXTJOIN(", ",TRUE,
IF(E612&lt;&gt;"",E612&amp;K612,""),
IF(F612&lt;&gt;"",F612&amp;K612,""),
IF(G612&lt;&gt;"",G612&amp;K612,"")
))</f>
        <v/>
      </c>
      <c r="AA1089">
        <f>IF(K612="","",IF(K612="TABLE","",K612))</f>
        <v/>
      </c>
      <c r="AB1089">
        <f>IF(ISNUMBER(SEARCH("기존변경필요",SUBSTITUTE(TRIM(V612),CHAR(10)," "))),"",
IFERROR(
  _xlfn.XLOOKUP(AA612,'기존 end point'!B:B,'기존 end point'!B:B,,0),
""))</f>
        <v/>
      </c>
    </row>
    <row r="1090">
      <c r="A1090" t="n">
        <v>612</v>
      </c>
      <c r="B1090" s="1" t="n"/>
      <c r="C1090" s="1" t="inlineStr">
        <is>
          <t>Steel Design</t>
        </is>
      </c>
      <c r="D1090" s="1" t="inlineStr">
        <is>
          <t>Design Input Data</t>
        </is>
      </c>
      <c r="E1090" s="1" t="inlineStr">
        <is>
          <t>Design Parameters</t>
        </is>
      </c>
      <c r="F1090" s="1" t="inlineStr">
        <is>
          <t>Effective Length Factor (K)</t>
        </is>
      </c>
      <c r="G1090" s="1" t="n"/>
      <c r="H1090" s="1" t="inlineStr">
        <is>
          <t>DESIGN</t>
        </is>
      </c>
      <c r="I1090" s="1" t="inlineStr">
        <is>
          <t>STEEL</t>
        </is>
      </c>
      <c r="J1090" s="1" t="inlineStr">
        <is>
          <t>KDS-41-30-2022</t>
        </is>
      </c>
      <c r="K1090" s="1">
        <f>_xlfn.XLOOKUP(F613,'PARAMETER 공통'!$B$4:$B$53,'PARAMETER 공통'!$D$4:$D$53,,0,1)</f>
        <v/>
      </c>
      <c r="L1090" s="1">
        <f>_xlfn.TEXTJOIN("/",TRUE,H613,I613,J613,K613)</f>
        <v/>
      </c>
      <c r="M1090" s="1" t="n"/>
      <c r="N1090" s="1" t="inlineStr">
        <is>
          <t>done</t>
        </is>
      </c>
      <c r="O1090" s="1" t="inlineStr">
        <is>
          <t>done</t>
        </is>
      </c>
      <c r="P1090" s="1" t="inlineStr">
        <is>
          <t>done</t>
        </is>
      </c>
      <c r="Q1090" s="1" t="n"/>
      <c r="R1090" s="1" t="n"/>
      <c r="S1090" s="1" t="n"/>
      <c r="T1090" s="1" t="inlineStr">
        <is>
          <t>progress</t>
        </is>
      </c>
      <c r="U1090" s="1" t="inlineStr">
        <is>
          <t>개발</t>
        </is>
      </c>
      <c r="V1090" s="1" t="inlineStr">
        <is>
          <t>기존변경필요</t>
        </is>
      </c>
      <c r="X1090" s="4" t="n">
        <v>0</v>
      </c>
      <c r="Z1090">
        <f>IF(OR(K613="",K613="TABLE"),"",
_xlfn.TEXTJOIN(", ",TRUE,
IF(E613&lt;&gt;"",E613&amp;K613,""),
IF(F613&lt;&gt;"",F613&amp;K613,""),
IF(G613&lt;&gt;"",G613&amp;K613,"")
))</f>
        <v/>
      </c>
      <c r="AA1090">
        <f>IF(K613="","",IF(K613="TABLE","",K613))</f>
        <v/>
      </c>
      <c r="AB1090">
        <f>IF(ISNUMBER(SEARCH("기존변경필요",SUBSTITUTE(TRIM(V613),CHAR(10)," "))),"",
IFERROR(
  _xlfn.XLOOKUP(AA613,'기존 end point'!B:B,'기존 end point'!B:B,,0),
""))</f>
        <v/>
      </c>
    </row>
    <row r="1091">
      <c r="A1091" t="n">
        <v>613</v>
      </c>
      <c r="B1091" s="1" t="n"/>
      <c r="C1091" s="1" t="inlineStr">
        <is>
          <t>Steel Design</t>
        </is>
      </c>
      <c r="D1091" s="1" t="inlineStr">
        <is>
          <t>Design Input Data</t>
        </is>
      </c>
      <c r="E1091" s="1" t="inlineStr">
        <is>
          <t>Design Parameters</t>
        </is>
      </c>
      <c r="F1091" s="1" t="inlineStr">
        <is>
          <t>Limiting Slenderness Ratio</t>
        </is>
      </c>
      <c r="G1091" s="1" t="n"/>
      <c r="H1091" s="1" t="inlineStr">
        <is>
          <t>DESIGN</t>
        </is>
      </c>
      <c r="I1091" s="1" t="inlineStr">
        <is>
          <t>STEEL</t>
        </is>
      </c>
      <c r="J1091" s="1" t="inlineStr">
        <is>
          <t>KDS-41-30-2022</t>
        </is>
      </c>
      <c r="K1091" s="1">
        <f>_xlfn.XLOOKUP(F614,'PARAMETER 공통'!$B$4:$B$53,'PARAMETER 공통'!$D$4:$D$53,,0,1)</f>
        <v/>
      </c>
      <c r="L1091" s="1">
        <f>_xlfn.TEXTJOIN("/",TRUE,H614,I614,J614,K614)</f>
        <v/>
      </c>
      <c r="M1091" s="1" t="n"/>
      <c r="N1091" s="1" t="inlineStr">
        <is>
          <t>done</t>
        </is>
      </c>
      <c r="O1091" s="1" t="inlineStr">
        <is>
          <t>done</t>
        </is>
      </c>
      <c r="P1091" s="1" t="inlineStr">
        <is>
          <t>done</t>
        </is>
      </c>
      <c r="Q1091" s="1" t="n"/>
      <c r="R1091" s="1" t="n"/>
      <c r="S1091" s="1" t="inlineStr">
        <is>
          <t>warning</t>
        </is>
      </c>
      <c r="T1091" s="1" t="inlineStr">
        <is>
          <t>Done</t>
        </is>
      </c>
      <c r="U1091" s="1" t="n"/>
      <c r="V1091" s="1" t="inlineStr">
        <is>
          <t>기존변경필요</t>
        </is>
      </c>
      <c r="X1091" s="4" t="n">
        <v>0</v>
      </c>
      <c r="Z1091">
        <f>IF(OR(K614="",K614="TABLE"),"",
_xlfn.TEXTJOIN(", ",TRUE,
IF(E614&lt;&gt;"",E614&amp;K614,""),
IF(F614&lt;&gt;"",F614&amp;K614,""),
IF(G614&lt;&gt;"",G614&amp;K614,"")
))</f>
        <v/>
      </c>
      <c r="AA1091">
        <f>IF(K614="","",IF(K614="TABLE","",K614))</f>
        <v/>
      </c>
      <c r="AB1091">
        <f>IF(ISNUMBER(SEARCH("기존변경필요",SUBSTITUTE(TRIM(V614),CHAR(10)," "))),"",
IFERROR(
  _xlfn.XLOOKUP(AA614,'기존 end point'!B:B,'기존 end point'!B:B,,0),
""))</f>
        <v/>
      </c>
    </row>
    <row r="1092">
      <c r="A1092" t="n">
        <v>614</v>
      </c>
      <c r="B1092" s="1" t="n"/>
      <c r="C1092" s="1" t="inlineStr">
        <is>
          <t>Steel Design</t>
        </is>
      </c>
      <c r="D1092" s="1" t="inlineStr">
        <is>
          <t>Design Input Data</t>
        </is>
      </c>
      <c r="E1092" s="1" t="inlineStr">
        <is>
          <t>Design Parameters</t>
        </is>
      </c>
      <c r="F1092" s="1" t="inlineStr">
        <is>
          <t>Equivalent Moment Correction Factor(Cm)</t>
        </is>
      </c>
      <c r="G1092" s="1" t="n"/>
      <c r="H1092" s="1" t="inlineStr">
        <is>
          <t>DESIGN</t>
        </is>
      </c>
      <c r="I1092" s="1" t="inlineStr">
        <is>
          <t>STEEL</t>
        </is>
      </c>
      <c r="J1092" s="1" t="inlineStr">
        <is>
          <t>KDS-41-30-2022</t>
        </is>
      </c>
      <c r="K1092" s="1">
        <f>_xlfn.XLOOKUP(F615,'PARAMETER 공통'!$B$4:$B$53,'PARAMETER 공통'!$D$4:$D$53,,0,1)</f>
        <v/>
      </c>
      <c r="L1092" s="1">
        <f>_xlfn.TEXTJOIN("/",TRUE,H615,I615,J615,K615)</f>
        <v/>
      </c>
      <c r="M1092" s="1" t="n"/>
      <c r="N1092" s="1" t="inlineStr">
        <is>
          <t>done</t>
        </is>
      </c>
      <c r="O1092" s="1" t="inlineStr">
        <is>
          <t>done</t>
        </is>
      </c>
      <c r="P1092" s="1" t="inlineStr">
        <is>
          <t>done</t>
        </is>
      </c>
      <c r="Q1092" s="1" t="n"/>
      <c r="R1092" s="1" t="n"/>
      <c r="S1092" s="1" t="n"/>
      <c r="T1092" s="1" t="inlineStr">
        <is>
          <t>progress</t>
        </is>
      </c>
      <c r="U1092" s="1" t="inlineStr">
        <is>
          <t>개발</t>
        </is>
      </c>
      <c r="V1092" s="1" t="n">
        <v>1</v>
      </c>
      <c r="W1092" s="5" t="inlineStr">
        <is>
          <t>https://support.midasuser.com/hc/ko/articles/24203490041881-Equivalent-Moment-correction-Factor-Cm</t>
        </is>
      </c>
      <c r="X1092" s="4" t="inlineStr">
        <is>
          <t>EMCF -&gt; CMFT</t>
        </is>
      </c>
      <c r="Z1092">
        <f>IF(OR(K615="",K615="TABLE"),"",
_xlfn.TEXTJOIN(", ",TRUE,
IF(E615&lt;&gt;"",E615&amp;K615,""),
IF(F615&lt;&gt;"",F615&amp;K615,""),
IF(G615&lt;&gt;"",G615&amp;K615,"")
))</f>
        <v/>
      </c>
      <c r="AA1092">
        <f>IF(K615="","",IF(K615="TABLE","",K615))</f>
        <v/>
      </c>
      <c r="AB1092">
        <f>IF(ISNUMBER(SEARCH("기존변경필요",SUBSTITUTE(TRIM(V615),CHAR(10)," "))),"",
IFERROR(
  _xlfn.XLOOKUP(AA615,'기존 end point'!B:B,'기존 end point'!B:B,,0),
""))</f>
        <v/>
      </c>
    </row>
    <row r="1093">
      <c r="A1093" t="n">
        <v>615</v>
      </c>
      <c r="B1093" s="1" t="n"/>
      <c r="C1093" s="1" t="inlineStr">
        <is>
          <t>Steel Design</t>
        </is>
      </c>
      <c r="D1093" s="1" t="inlineStr">
        <is>
          <t>Design Input Data</t>
        </is>
      </c>
      <c r="E1093" s="1" t="inlineStr">
        <is>
          <t>Design Parameters</t>
        </is>
      </c>
      <c r="F1093" s="1" t="inlineStr">
        <is>
          <t>Moment Magnifier(B1/Delta_b, B2/Delta_s)</t>
        </is>
      </c>
      <c r="G1093" s="1" t="n"/>
      <c r="H1093" s="1" t="inlineStr">
        <is>
          <t>DESIGN</t>
        </is>
      </c>
      <c r="I1093" s="1" t="inlineStr">
        <is>
          <t>STEEL</t>
        </is>
      </c>
      <c r="J1093" s="1" t="inlineStr">
        <is>
          <t>KDS-41-30-2022</t>
        </is>
      </c>
      <c r="K1093" s="1">
        <f>_xlfn.XLOOKUP(F616,'PARAMETER 공통'!$B$4:$B$53,'PARAMETER 공통'!$D$4:$D$53,,0,1)</f>
        <v/>
      </c>
      <c r="L1093" s="1">
        <f>_xlfn.TEXTJOIN("/",TRUE,H616,I616,J616,K616)</f>
        <v/>
      </c>
      <c r="M1093" s="1" t="n"/>
      <c r="N1093" s="1" t="inlineStr">
        <is>
          <t>done</t>
        </is>
      </c>
      <c r="O1093" s="1" t="inlineStr">
        <is>
          <t>done</t>
        </is>
      </c>
      <c r="P1093" s="1" t="inlineStr">
        <is>
          <t>done</t>
        </is>
      </c>
      <c r="Q1093" s="1" t="n"/>
      <c r="R1093" s="1" t="n"/>
      <c r="S1093" s="1" t="n"/>
      <c r="T1093" s="1" t="inlineStr">
        <is>
          <t>progress</t>
        </is>
      </c>
      <c r="U1093" s="1" t="inlineStr">
        <is>
          <t>개발</t>
        </is>
      </c>
      <c r="V1093" s="1" t="n">
        <v>1</v>
      </c>
      <c r="W1093" s="5" t="inlineStr">
        <is>
          <t>https://support.midasuser.com/hc/ko/articles/24203685611673-Moment-Magnifier-B1-Delta-b-B2-Delta-s</t>
        </is>
      </c>
      <c r="X1093" s="4" t="inlineStr">
        <is>
          <t>MMAG -&gt; FMAG</t>
        </is>
      </c>
      <c r="Z1093">
        <f>IF(OR(K616="",K616="TABLE"),"",
_xlfn.TEXTJOIN(", ",TRUE,
IF(E616&lt;&gt;"",E616&amp;K616,""),
IF(F616&lt;&gt;"",F616&amp;K616,""),
IF(G616&lt;&gt;"",G616&amp;K616,"")
))</f>
        <v/>
      </c>
      <c r="AA1093">
        <f>IF(K616="","",IF(K616="TABLE","",K616))</f>
        <v/>
      </c>
      <c r="AB1093">
        <f>IF(ISNUMBER(SEARCH("기존변경필요",SUBSTITUTE(TRIM(V616),CHAR(10)," "))),"",
IFERROR(
  _xlfn.XLOOKUP(AA616,'기존 end point'!B:B,'기존 end point'!B:B,,0),
""))</f>
        <v/>
      </c>
    </row>
    <row r="1094">
      <c r="A1094" t="n">
        <v>616</v>
      </c>
      <c r="B1094" s="1" t="n"/>
      <c r="C1094" s="1" t="inlineStr">
        <is>
          <t>Steel Design</t>
        </is>
      </c>
      <c r="D1094" s="1" t="inlineStr">
        <is>
          <t>Design Input Data</t>
        </is>
      </c>
      <c r="E1094" s="1" t="inlineStr">
        <is>
          <t>Design Parameters</t>
        </is>
      </c>
      <c r="F1094" s="1" t="inlineStr">
        <is>
          <t>Modify Live Load Reduction Factor</t>
        </is>
      </c>
      <c r="G1094" s="1" t="n"/>
      <c r="H1094" s="1" t="inlineStr">
        <is>
          <t>DESIGN</t>
        </is>
      </c>
      <c r="I1094" s="1" t="inlineStr">
        <is>
          <t>STEEL</t>
        </is>
      </c>
      <c r="J1094" s="1" t="inlineStr">
        <is>
          <t>KDS-41-30-2022</t>
        </is>
      </c>
      <c r="K1094" s="1">
        <f>_xlfn.XLOOKUP(F617,'PARAMETER 공통'!$B$4:$B$53,'PARAMETER 공통'!$D$4:$D$53,,0,1)</f>
        <v/>
      </c>
      <c r="L1094" s="1">
        <f>_xlfn.TEXTJOIN("/",TRUE,H617,I617,J617,K617)</f>
        <v/>
      </c>
      <c r="M1094" s="1" t="n"/>
      <c r="N1094" s="1" t="inlineStr">
        <is>
          <t>done</t>
        </is>
      </c>
      <c r="O1094" s="1" t="inlineStr">
        <is>
          <t>done</t>
        </is>
      </c>
      <c r="P1094" s="1" t="inlineStr">
        <is>
          <t>done</t>
        </is>
      </c>
      <c r="Q1094" s="1" t="n"/>
      <c r="R1094" s="1" t="n"/>
      <c r="S1094" s="1" t="n"/>
      <c r="T1094" s="1" t="inlineStr">
        <is>
          <t>progress</t>
        </is>
      </c>
      <c r="U1094" s="1" t="inlineStr">
        <is>
          <t>개발</t>
        </is>
      </c>
      <c r="V1094" s="1" t="n">
        <v>1</v>
      </c>
      <c r="X1094" s="4" t="n">
        <v>0</v>
      </c>
      <c r="Z1094">
        <f>IF(OR(K617="",K617="TABLE"),"",
_xlfn.TEXTJOIN(", ",TRUE,
IF(E617&lt;&gt;"",E617&amp;K617,""),
IF(F617&lt;&gt;"",F617&amp;K617,""),
IF(G617&lt;&gt;"",G617&amp;K617,"")
))</f>
        <v/>
      </c>
      <c r="AA1094">
        <f>IF(K617="","",IF(K617="TABLE","",K617))</f>
        <v/>
      </c>
      <c r="AB1094">
        <f>IF(ISNUMBER(SEARCH("기존변경필요",SUBSTITUTE(TRIM(V617),CHAR(10)," "))),"",
IFERROR(
  _xlfn.XLOOKUP(AA617,'기존 end point'!B:B,'기존 end point'!B:B,,0),
""))</f>
        <v/>
      </c>
    </row>
    <row r="1095">
      <c r="A1095" t="n">
        <v>617</v>
      </c>
      <c r="B1095" s="1" t="n"/>
      <c r="C1095" s="1" t="inlineStr">
        <is>
          <t>Steel Design</t>
        </is>
      </c>
      <c r="D1095" s="1" t="inlineStr">
        <is>
          <t>Design Input Data</t>
        </is>
      </c>
      <c r="E1095" s="1" t="inlineStr">
        <is>
          <t>Design Parameters</t>
        </is>
      </c>
      <c r="F1095" s="1" t="inlineStr">
        <is>
          <t>Scale up Factor for Earthquake</t>
        </is>
      </c>
      <c r="G1095" s="1" t="n"/>
      <c r="H1095" s="1" t="inlineStr">
        <is>
          <t>DESIGN</t>
        </is>
      </c>
      <c r="I1095" s="1" t="inlineStr">
        <is>
          <t>STEEL</t>
        </is>
      </c>
      <c r="J1095" s="1" t="inlineStr">
        <is>
          <t>KDS-41-30-2022</t>
        </is>
      </c>
      <c r="K1095" s="1">
        <f>_xlfn.XLOOKUP(F618,'PARAMETER 공통'!$B$4:$B$53,'PARAMETER 공통'!$D$4:$D$53,,0,1)</f>
        <v/>
      </c>
      <c r="L1095" s="1">
        <f>_xlfn.TEXTJOIN("/",TRUE,H618,I618,J618,K618)</f>
        <v/>
      </c>
      <c r="M1095" s="1" t="n"/>
      <c r="N1095" s="1" t="inlineStr">
        <is>
          <t>done</t>
        </is>
      </c>
      <c r="O1095" s="1" t="inlineStr">
        <is>
          <t>done</t>
        </is>
      </c>
      <c r="P1095" s="1" t="inlineStr">
        <is>
          <t>done</t>
        </is>
      </c>
      <c r="Q1095" s="1" t="n"/>
      <c r="R1095" s="1" t="n"/>
      <c r="S1095" s="1" t="n"/>
      <c r="T1095" s="1" t="inlineStr">
        <is>
          <t>progress</t>
        </is>
      </c>
      <c r="U1095" s="1" t="inlineStr">
        <is>
          <t>개발</t>
        </is>
      </c>
      <c r="V1095" s="1" t="n">
        <v>1</v>
      </c>
      <c r="X1095" s="4" t="inlineStr">
        <is>
          <t>SFEQ -&gt; SUEQ</t>
        </is>
      </c>
      <c r="Z1095">
        <f>IF(OR(K618="",K618="TABLE"),"",
_xlfn.TEXTJOIN(", ",TRUE,
IF(E618&lt;&gt;"",E618&amp;K618,""),
IF(F618&lt;&gt;"",F618&amp;K618,""),
IF(G618&lt;&gt;"",G618&amp;K618,"")
))</f>
        <v/>
      </c>
      <c r="AA1095">
        <f>IF(K618="","",IF(K618="TABLE","",K618))</f>
        <v/>
      </c>
      <c r="AB1095">
        <f>IF(ISNUMBER(SEARCH("기존변경필요",SUBSTITUTE(TRIM(V618),CHAR(10)," "))),"",
IFERROR(
  _xlfn.XLOOKUP(AA618,'기존 end point'!B:B,'기존 end point'!B:B,,0),
""))</f>
        <v/>
      </c>
    </row>
    <row r="1096">
      <c r="A1096" t="n">
        <v>618</v>
      </c>
      <c r="B1096" s="1" t="n"/>
      <c r="C1096" s="1" t="inlineStr">
        <is>
          <t>Steel Design</t>
        </is>
      </c>
      <c r="D1096" s="1" t="inlineStr">
        <is>
          <t>Design Input Data</t>
        </is>
      </c>
      <c r="E1096" s="1" t="inlineStr">
        <is>
          <t>Design Parameters</t>
        </is>
      </c>
      <c r="F1096" s="1" t="inlineStr">
        <is>
          <t>Modify Member Type</t>
        </is>
      </c>
      <c r="G1096" s="1" t="n"/>
      <c r="H1096" s="1" t="inlineStr">
        <is>
          <t>DESIGN</t>
        </is>
      </c>
      <c r="I1096" s="1" t="inlineStr">
        <is>
          <t>STEEL</t>
        </is>
      </c>
      <c r="J1096" s="1" t="inlineStr">
        <is>
          <t>KDS-41-30-2022</t>
        </is>
      </c>
      <c r="K1096" s="1">
        <f>_xlfn.XLOOKUP(F619,'PARAMETER 공통'!$B$4:$B$53,'PARAMETER 공통'!$D$4:$D$53,,0,1)</f>
        <v/>
      </c>
      <c r="L1096" s="1">
        <f>_xlfn.TEXTJOIN("/",TRUE,H619,I619,J619,K619)</f>
        <v/>
      </c>
      <c r="M1096" s="1" t="n"/>
      <c r="N1096" s="1" t="inlineStr">
        <is>
          <t>done</t>
        </is>
      </c>
      <c r="O1096" s="1" t="inlineStr">
        <is>
          <t>done</t>
        </is>
      </c>
      <c r="P1096" s="1" t="inlineStr">
        <is>
          <t>done</t>
        </is>
      </c>
      <c r="Q1096" s="1" t="n"/>
      <c r="R1096" s="1" t="n"/>
      <c r="S1096" s="1" t="inlineStr">
        <is>
          <t>warning</t>
        </is>
      </c>
      <c r="T1096" s="1" t="inlineStr">
        <is>
          <t>Done</t>
        </is>
      </c>
      <c r="U1096" s="1" t="n"/>
      <c r="V1096" s="1" t="inlineStr">
        <is>
          <t>기존변경필요</t>
        </is>
      </c>
      <c r="X1096" s="4" t="n">
        <v>0</v>
      </c>
      <c r="Z1096">
        <f>IF(OR(K619="",K619="TABLE"),"",
_xlfn.TEXTJOIN(", ",TRUE,
IF(E619&lt;&gt;"",E619&amp;K619,""),
IF(F619&lt;&gt;"",F619&amp;K619,""),
IF(G619&lt;&gt;"",G619&amp;K619,"")
))</f>
        <v/>
      </c>
      <c r="AA1096">
        <f>IF(K619="","",IF(K619="TABLE","",K619))</f>
        <v/>
      </c>
      <c r="AB1096">
        <f>IF(ISNUMBER(SEARCH("기존변경필요",SUBSTITUTE(TRIM(V619),CHAR(10)," "))),"",
IFERROR(
  _xlfn.XLOOKUP(AA619,'기존 end point'!B:B,'기존 end point'!B:B,,0),
""))</f>
        <v/>
      </c>
    </row>
    <row r="1097">
      <c r="A1097" t="n">
        <v>619</v>
      </c>
      <c r="B1097" s="1" t="n"/>
      <c r="C1097" s="1" t="inlineStr">
        <is>
          <t>Steel Design</t>
        </is>
      </c>
      <c r="D1097" s="1" t="inlineStr">
        <is>
          <t>Design Input Data</t>
        </is>
      </c>
      <c r="E1097" s="1" t="inlineStr">
        <is>
          <t>Design Parameters</t>
        </is>
      </c>
      <c r="F1097" s="1" t="inlineStr">
        <is>
          <t>Seismic Load Combination Type</t>
        </is>
      </c>
      <c r="G1097" s="1" t="n"/>
      <c r="H1097" s="1" t="inlineStr">
        <is>
          <t>DESIGN</t>
        </is>
      </c>
      <c r="I1097" s="1" t="inlineStr">
        <is>
          <t>STEEL</t>
        </is>
      </c>
      <c r="J1097" s="1" t="inlineStr">
        <is>
          <t>KDS-41-30-2022</t>
        </is>
      </c>
      <c r="K1097" s="1">
        <f>_xlfn.XLOOKUP(F620,'PARAMETER 공통'!$B$4:$B$53,'PARAMETER 공통'!$D$4:$D$53,,0,1)</f>
        <v/>
      </c>
      <c r="L1097" s="1">
        <f>_xlfn.TEXTJOIN("/",TRUE,H620,I620,J620,K620)</f>
        <v/>
      </c>
      <c r="M1097" s="1" t="n"/>
      <c r="N1097" s="1" t="inlineStr">
        <is>
          <t>done</t>
        </is>
      </c>
      <c r="O1097" s="1" t="inlineStr">
        <is>
          <t>done</t>
        </is>
      </c>
      <c r="P1097" s="1" t="inlineStr">
        <is>
          <t>done</t>
        </is>
      </c>
      <c r="Q1097" s="1" t="n"/>
      <c r="R1097" s="1" t="n"/>
      <c r="S1097" s="1" t="n"/>
      <c r="T1097" s="1" t="inlineStr">
        <is>
          <t>progress</t>
        </is>
      </c>
      <c r="U1097" s="1" t="inlineStr">
        <is>
          <t>개발</t>
        </is>
      </c>
      <c r="V1097" s="1" t="n">
        <v>1</v>
      </c>
      <c r="X1097" s="4" t="n">
        <v>0</v>
      </c>
      <c r="Z1097">
        <f>IF(OR(K620="",K620="TABLE"),"",
_xlfn.TEXTJOIN(", ",TRUE,
IF(E620&lt;&gt;"",E620&amp;K620,""),
IF(F620&lt;&gt;"",F620&amp;K620,""),
IF(G620&lt;&gt;"",G620&amp;K620,"")
))</f>
        <v/>
      </c>
      <c r="AA1097">
        <f>IF(K620="","",IF(K620="TABLE","",K620))</f>
        <v/>
      </c>
      <c r="AB1097">
        <f>IF(ISNUMBER(SEARCH("기존변경필요",SUBSTITUTE(TRIM(V620),CHAR(10)," "))),"",
IFERROR(
  _xlfn.XLOOKUP(AA620,'기존 end point'!B:B,'기존 end point'!B:B,,0),
""))</f>
        <v/>
      </c>
    </row>
    <row r="1098">
      <c r="A1098" t="n">
        <v>620</v>
      </c>
      <c r="B1098" s="1" t="n"/>
      <c r="C1098" s="1" t="inlineStr">
        <is>
          <t>Steel Design</t>
        </is>
      </c>
      <c r="D1098" s="1" t="inlineStr">
        <is>
          <t>Design Input Data</t>
        </is>
      </c>
      <c r="E1098" s="1" t="inlineStr">
        <is>
          <t>Design Parameters</t>
        </is>
      </c>
      <c r="F1098" s="1" t="inlineStr">
        <is>
          <t>Undergroung Load Combination Type</t>
        </is>
      </c>
      <c r="G1098" s="1" t="n"/>
      <c r="H1098" s="1" t="inlineStr">
        <is>
          <t>DESIGN</t>
        </is>
      </c>
      <c r="I1098" s="1" t="inlineStr">
        <is>
          <t>STEEL</t>
        </is>
      </c>
      <c r="J1098" s="1" t="inlineStr">
        <is>
          <t>KDS-41-30-2022</t>
        </is>
      </c>
      <c r="K1098" s="1">
        <f>_xlfn.XLOOKUP(F621,'PARAMETER 공통'!$B$4:$B$53,'PARAMETER 공통'!$D$4:$D$53,,0,1)</f>
        <v/>
      </c>
      <c r="L1098" s="1">
        <f>_xlfn.TEXTJOIN("/",TRUE,H621,I621,J621,K621)</f>
        <v/>
      </c>
      <c r="M1098" s="1" t="n"/>
      <c r="N1098" s="1" t="inlineStr">
        <is>
          <t>done</t>
        </is>
      </c>
      <c r="O1098" s="1" t="inlineStr">
        <is>
          <t>done</t>
        </is>
      </c>
      <c r="P1098" s="1" t="inlineStr">
        <is>
          <t>done</t>
        </is>
      </c>
      <c r="Q1098" s="1" t="n"/>
      <c r="R1098" s="1" t="n"/>
      <c r="S1098" s="1" t="inlineStr">
        <is>
          <t>warning</t>
        </is>
      </c>
      <c r="T1098" s="1" t="inlineStr">
        <is>
          <t>Done</t>
        </is>
      </c>
      <c r="U1098" s="1" t="n"/>
      <c r="V1098" s="1" t="inlineStr">
        <is>
          <t>기존변경필요</t>
        </is>
      </c>
      <c r="X1098" s="4" t="n">
        <v>0</v>
      </c>
      <c r="Z1098">
        <f>IF(OR(K621="",K621="TABLE"),"",
_xlfn.TEXTJOIN(", ",TRUE,
IF(E621&lt;&gt;"",E621&amp;K621,""),
IF(F621&lt;&gt;"",F621&amp;K621,""),
IF(G621&lt;&gt;"",G621&amp;K621,"")
))</f>
        <v/>
      </c>
      <c r="AA1098">
        <f>IF(K621="","",IF(K621="TABLE","",K621))</f>
        <v/>
      </c>
      <c r="AB1098">
        <f>IF(ISNUMBER(SEARCH("기존변경필요",SUBSTITUTE(TRIM(V621),CHAR(10)," "))),"",
IFERROR(
  _xlfn.XLOOKUP(AA621,'기존 end point'!B:B,'기존 end point'!B:B,,0),
""))</f>
        <v/>
      </c>
    </row>
    <row r="1099">
      <c r="A1099" t="n">
        <v>621</v>
      </c>
      <c r="B1099" s="1" t="n"/>
      <c r="C1099" s="1" t="inlineStr">
        <is>
          <t>Steel Design</t>
        </is>
      </c>
      <c r="D1099" s="1" t="inlineStr">
        <is>
          <t>Design Input Data</t>
        </is>
      </c>
      <c r="E1099" s="1" t="inlineStr">
        <is>
          <t>Design Parameters</t>
        </is>
      </c>
      <c r="F1099" s="1" t="inlineStr">
        <is>
          <t>Strength Reduction Factors</t>
        </is>
      </c>
      <c r="G1099" s="1" t="n"/>
      <c r="H1099" s="1" t="inlineStr">
        <is>
          <t>DESIGN</t>
        </is>
      </c>
      <c r="I1099" s="1" t="inlineStr">
        <is>
          <t>STEEL</t>
        </is>
      </c>
      <c r="J1099" s="1" t="inlineStr">
        <is>
          <t>KDS-41-30-2022</t>
        </is>
      </c>
      <c r="K1099" s="1">
        <f>_xlfn.XLOOKUP(F622,'PARAMETER 공통'!$B$4:$B$53,'PARAMETER 공통'!$D$4:$D$53,,0,1)</f>
        <v/>
      </c>
      <c r="L1099" s="1">
        <f>_xlfn.TEXTJOIN("/",TRUE,H622,I622,J622,K622)</f>
        <v/>
      </c>
      <c r="M1099" s="1" t="n"/>
      <c r="N1099" s="1" t="n"/>
      <c r="O1099" s="1" t="n"/>
      <c r="P1099" s="3" t="inlineStr">
        <is>
          <t>progress</t>
        </is>
      </c>
      <c r="Q1099" s="1" t="n"/>
      <c r="R1099" s="1" t="n"/>
      <c r="S1099" s="1" t="n"/>
      <c r="T1099" s="1" t="inlineStr">
        <is>
          <t>progress</t>
        </is>
      </c>
      <c r="U1099" s="1" t="inlineStr">
        <is>
          <t>개발</t>
        </is>
      </c>
      <c r="V1099" s="1" t="n">
        <v>1</v>
      </c>
      <c r="X1099" s="4" t="inlineStr">
        <is>
          <t>get, put 만 가능 (T_DSTL_D)</t>
        </is>
      </c>
      <c r="Z1099">
        <f>IF(OR(K622="",K622="TABLE"),"",
_xlfn.TEXTJOIN(", ",TRUE,
IF(E622&lt;&gt;"",E622&amp;K622,""),
IF(F622&lt;&gt;"",F622&amp;K622,""),
IF(G622&lt;&gt;"",G622&amp;K622,"")
))</f>
        <v/>
      </c>
      <c r="AA1099">
        <f>IF(K622="","",IF(K622="TABLE","",K622))</f>
        <v/>
      </c>
      <c r="AB1099">
        <f>IF(ISNUMBER(SEARCH("기존변경필요",SUBSTITUTE(TRIM(V622),CHAR(10)," "))),"",
IFERROR(
  _xlfn.XLOOKUP(AA622,'기존 end point'!B:B,'기존 end point'!B:B,,0),
""))</f>
        <v/>
      </c>
    </row>
    <row r="1100">
      <c r="A1100" t="n">
        <v>622</v>
      </c>
      <c r="B1100" s="1" t="n"/>
      <c r="C1100" s="1" t="inlineStr">
        <is>
          <t>Steel Design</t>
        </is>
      </c>
      <c r="D1100" s="1" t="inlineStr">
        <is>
          <t>Design Input Data</t>
        </is>
      </c>
      <c r="E1100" s="1" t="inlineStr">
        <is>
          <t>Design Parameters</t>
        </is>
      </c>
      <c r="F1100" s="1" t="inlineStr">
        <is>
          <t>Serviceability Parameters</t>
        </is>
      </c>
      <c r="G1100" s="1" t="n"/>
      <c r="H1100" s="1" t="inlineStr">
        <is>
          <t>DESIGN</t>
        </is>
      </c>
      <c r="I1100" s="1" t="inlineStr">
        <is>
          <t>STEEL</t>
        </is>
      </c>
      <c r="J1100" s="1" t="inlineStr">
        <is>
          <t>KDS-41-30-2022</t>
        </is>
      </c>
      <c r="K1100" s="1">
        <f>_xlfn.XLOOKUP(F623,'PARAMETER 공통'!$B$4:$B$53,'PARAMETER 공통'!$D$4:$D$53,,0,1)</f>
        <v/>
      </c>
      <c r="L1100" s="1">
        <f>_xlfn.TEXTJOIN("/",TRUE,H623,I623,J623,K623)</f>
        <v/>
      </c>
      <c r="M1100" s="1" t="n"/>
      <c r="N1100" s="1" t="inlineStr">
        <is>
          <t>done</t>
        </is>
      </c>
      <c r="O1100" s="1" t="inlineStr">
        <is>
          <t>done</t>
        </is>
      </c>
      <c r="P1100" s="1" t="inlineStr">
        <is>
          <t>done</t>
        </is>
      </c>
      <c r="Q1100" s="1" t="n"/>
      <c r="R1100" s="1" t="n"/>
      <c r="S1100" s="1" t="n"/>
      <c r="T1100" s="1" t="inlineStr">
        <is>
          <t>progress</t>
        </is>
      </c>
      <c r="U1100" s="1" t="inlineStr">
        <is>
          <t>개발</t>
        </is>
      </c>
      <c r="V1100" s="1" t="n">
        <v>1</v>
      </c>
      <c r="X1100" s="4" t="inlineStr">
        <is>
          <t>SPAR -&gt; SERV</t>
        </is>
      </c>
      <c r="Z1100">
        <f>IF(OR(K623="",K623="TABLE"),"",
_xlfn.TEXTJOIN(", ",TRUE,
IF(E623&lt;&gt;"",E623&amp;K623,""),
IF(F623&lt;&gt;"",F623&amp;K623,""),
IF(G623&lt;&gt;"",G623&amp;K623,"")
))</f>
        <v/>
      </c>
      <c r="AA1100">
        <f>IF(K623="","",IF(K623="TABLE","",K623))</f>
        <v/>
      </c>
      <c r="AB1100">
        <f>IF(ISNUMBER(SEARCH("기존변경필요",SUBSTITUTE(TRIM(V623),CHAR(10)," "))),"",
IFERROR(
  _xlfn.XLOOKUP(AA623,'기존 end point'!B:B,'기존 end point'!B:B,,0),
""))</f>
        <v/>
      </c>
    </row>
    <row r="1101">
      <c r="A1101" t="n">
        <v>623</v>
      </c>
      <c r="B1101" s="1" t="n"/>
      <c r="C1101" s="1" t="inlineStr">
        <is>
          <t>Steel Design</t>
        </is>
      </c>
      <c r="D1101" s="1" t="inlineStr">
        <is>
          <t>Design Input Data</t>
        </is>
      </c>
      <c r="E1101" s="1" t="inlineStr">
        <is>
          <t>Design Parameters</t>
        </is>
      </c>
      <c r="F1101" s="1" t="inlineStr">
        <is>
          <t>Bending Coefficient(Cb)</t>
        </is>
      </c>
      <c r="G1101" s="1" t="n"/>
      <c r="H1101" s="1" t="inlineStr">
        <is>
          <t>DESIGN</t>
        </is>
      </c>
      <c r="I1101" s="1" t="inlineStr">
        <is>
          <t>STEEL</t>
        </is>
      </c>
      <c r="J1101" s="1" t="inlineStr">
        <is>
          <t>KDS-41-30-2022</t>
        </is>
      </c>
      <c r="K1101" s="1">
        <f>_xlfn.XLOOKUP(F624,'PARAMETER 공통'!$B$4:$B$53,'PARAMETER 공통'!$D$4:$D$53,,0,1)</f>
        <v/>
      </c>
      <c r="L1101" s="1">
        <f>_xlfn.TEXTJOIN("/",TRUE,H624,I624,J624,K624)</f>
        <v/>
      </c>
      <c r="M1101" s="1" t="n"/>
      <c r="N1101" s="1" t="inlineStr">
        <is>
          <t>done</t>
        </is>
      </c>
      <c r="O1101" s="1" t="inlineStr">
        <is>
          <t>done</t>
        </is>
      </c>
      <c r="P1101" s="3" t="inlineStr">
        <is>
          <t>progress</t>
        </is>
      </c>
      <c r="Q1101" s="1" t="n"/>
      <c r="R1101" s="1" t="n"/>
      <c r="S1101" s="1" t="n"/>
      <c r="T1101" s="1" t="inlineStr">
        <is>
          <t>progress</t>
        </is>
      </c>
      <c r="U1101" s="1" t="inlineStr">
        <is>
          <t>개발</t>
        </is>
      </c>
      <c r="V1101" s="1" t="n">
        <v>1</v>
      </c>
      <c r="X1101" s="4" t="inlineStr">
        <is>
          <t>BCOEF -&gt; CBFT</t>
        </is>
      </c>
      <c r="Z1101">
        <f>IF(OR(K624="",K624="TABLE"),"",
_xlfn.TEXTJOIN(", ",TRUE,
IF(E624&lt;&gt;"",E624&amp;K624,""),
IF(F624&lt;&gt;"",F624&amp;K624,""),
IF(G624&lt;&gt;"",G624&amp;K624,"")
))</f>
        <v/>
      </c>
      <c r="AA1101">
        <f>IF(K624="","",IF(K624="TABLE","",K624))</f>
        <v/>
      </c>
      <c r="AB1101">
        <f>IF(ISNUMBER(SEARCH("기존변경필요",SUBSTITUTE(TRIM(V624),CHAR(10)," "))),"",
IFERROR(
  _xlfn.XLOOKUP(AA624,'기존 end point'!B:B,'기존 end point'!B:B,,0),
""))</f>
        <v/>
      </c>
    </row>
    <row r="1102">
      <c r="A1102" s="6" t="n">
        <v>624</v>
      </c>
      <c r="B1102" s="7" t="n"/>
      <c r="C1102" s="7" t="inlineStr">
        <is>
          <t>Steel Design</t>
        </is>
      </c>
      <c r="D1102" s="7" t="inlineStr">
        <is>
          <t>Design Input Data</t>
        </is>
      </c>
      <c r="E1102" s="7" t="inlineStr">
        <is>
          <t>Design Parameters</t>
        </is>
      </c>
      <c r="F1102" s="7" t="inlineStr">
        <is>
          <t>Shear Coefficient(Cv)</t>
        </is>
      </c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11" t="inlineStr">
        <is>
          <t>cancel</t>
        </is>
      </c>
      <c r="U1102" s="1" t="n"/>
      <c r="V1102" s="1" t="n"/>
      <c r="Z1102">
        <f>IF(OR(K625="",K625="TABLE"),"",
_xlfn.TEXTJOIN(", ",TRUE,
IF(E625&lt;&gt;"",E625&amp;K625,""),
IF(F625&lt;&gt;"",F625&amp;K625,""),
IF(G625&lt;&gt;"",G625&amp;K625,"")
))</f>
        <v/>
      </c>
      <c r="AA1102">
        <f>IF(K625="","",IF(K625="TABLE","",K625))</f>
        <v/>
      </c>
      <c r="AB1102">
        <f>IF(ISNUMBER(SEARCH("기존변경필요",SUBSTITUTE(TRIM(V625),CHAR(10)," "))),"",
IFERROR(
  _xlfn.XLOOKUP(AA625,'기존 end point'!B:B,'기존 end point'!B:B,,0),
""))</f>
        <v/>
      </c>
    </row>
    <row r="1103">
      <c r="A1103" s="6" t="n">
        <v>625</v>
      </c>
      <c r="B1103" s="7" t="n"/>
      <c r="C1103" s="7" t="inlineStr">
        <is>
          <t>Steel Design</t>
        </is>
      </c>
      <c r="D1103" s="7" t="inlineStr">
        <is>
          <t>Design Input Data</t>
        </is>
      </c>
      <c r="E1103" s="7" t="inlineStr">
        <is>
          <t>Design Parameters</t>
        </is>
      </c>
      <c r="F1103" s="7" t="inlineStr">
        <is>
          <t>Specify Allowable Stresses</t>
        </is>
      </c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11" t="inlineStr">
        <is>
          <t>cancel</t>
        </is>
      </c>
      <c r="U1103" s="1" t="n"/>
      <c r="V1103" s="1" t="n"/>
      <c r="Z1103">
        <f>IF(OR(K626="",K626="TABLE"),"",
_xlfn.TEXTJOIN(", ",TRUE,
IF(E626&lt;&gt;"",E626&amp;K626,""),
IF(F626&lt;&gt;"",F626&amp;K626,""),
IF(G626&lt;&gt;"",G626&amp;K626,"")
))</f>
        <v/>
      </c>
      <c r="AA1103">
        <f>IF(K626="","",IF(K626="TABLE","",K626))</f>
        <v/>
      </c>
      <c r="AB1103">
        <f>IF(ISNUMBER(SEARCH("기존변경필요",SUBSTITUTE(TRIM(V626),CHAR(10)," "))),"",
IFERROR(
  _xlfn.XLOOKUP(AA626,'기존 end point'!B:B,'기존 end point'!B:B,,0),
""))</f>
        <v/>
      </c>
    </row>
    <row r="1104">
      <c r="A1104" t="n">
        <v>626</v>
      </c>
      <c r="B1104" s="1" t="n"/>
      <c r="C1104" s="1" t="inlineStr">
        <is>
          <t>Steel Design</t>
        </is>
      </c>
      <c r="D1104" s="1" t="inlineStr">
        <is>
          <t>Design Input Data</t>
        </is>
      </c>
      <c r="E1104" s="1" t="inlineStr">
        <is>
          <t>Design Parameters</t>
        </is>
      </c>
      <c r="F1104" s="1" t="inlineStr">
        <is>
          <t>Seismic Load Resisting System by Member</t>
        </is>
      </c>
      <c r="G1104" s="1" t="n"/>
      <c r="H1104" s="1" t="inlineStr">
        <is>
          <t>DESIGN</t>
        </is>
      </c>
      <c r="I1104" s="1" t="inlineStr">
        <is>
          <t>STEEL</t>
        </is>
      </c>
      <c r="J1104" s="1" t="inlineStr">
        <is>
          <t>KDS-41-30-2022</t>
        </is>
      </c>
      <c r="K1104" s="1">
        <f>_xlfn.XLOOKUP(F627,'PARAMETER 공통'!$B$4:$B$53,'PARAMETER 공통'!$D$4:$D$53,,0,1)</f>
        <v/>
      </c>
      <c r="L1104" s="1">
        <f>_xlfn.TEXTJOIN("/",TRUE,H627,I627,J627,K627)</f>
        <v/>
      </c>
      <c r="M1104" s="1" t="n"/>
      <c r="N1104" s="1" t="inlineStr">
        <is>
          <t>done</t>
        </is>
      </c>
      <c r="O1104" s="1" t="inlineStr">
        <is>
          <t>done</t>
        </is>
      </c>
      <c r="P1104" s="1" t="inlineStr">
        <is>
          <t>done</t>
        </is>
      </c>
      <c r="Q1104" s="1" t="n"/>
      <c r="R1104" s="1" t="n"/>
      <c r="S1104" s="1" t="n"/>
      <c r="T1104" s="1" t="inlineStr">
        <is>
          <t>progress</t>
        </is>
      </c>
      <c r="U1104" s="1" t="inlineStr">
        <is>
          <t>개발</t>
        </is>
      </c>
      <c r="V1104" s="1" t="n">
        <v>1</v>
      </c>
      <c r="X1104" s="4" t="inlineStr">
        <is>
          <t>EQSYS -&gt;SLRS</t>
        </is>
      </c>
      <c r="Z1104">
        <f>IF(OR(K627="",K627="TABLE"),"",
_xlfn.TEXTJOIN(", ",TRUE,
IF(E627&lt;&gt;"",E627&amp;K627,""),
IF(F627&lt;&gt;"",F627&amp;K627,""),
IF(G627&lt;&gt;"",G627&amp;K627,"")
))</f>
        <v/>
      </c>
      <c r="AA1104">
        <f>IF(K627="","",IF(K627="TABLE","",K627))</f>
        <v/>
      </c>
      <c r="AB1104">
        <f>IF(ISNUMBER(SEARCH("기존변경필요",SUBSTITUTE(TRIM(V627),CHAR(10)," "))),"",
IFERROR(
  _xlfn.XLOOKUP(AA627,'기존 end point'!B:B,'기존 end point'!B:B,,0),
""))</f>
        <v/>
      </c>
    </row>
    <row r="1105">
      <c r="A1105" t="n">
        <v>627</v>
      </c>
      <c r="B1105" s="7" t="n"/>
      <c r="C1105" s="7" t="inlineStr">
        <is>
          <t>Steel Design</t>
        </is>
      </c>
      <c r="D1105" s="7" t="inlineStr">
        <is>
          <t>Design Input Data</t>
        </is>
      </c>
      <c r="E1105" s="7" t="inlineStr">
        <is>
          <t>Design Parameters</t>
        </is>
      </c>
      <c r="F1105" s="7" t="inlineStr">
        <is>
          <t>Longitudinal Stiffener of Box Section</t>
        </is>
      </c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11" t="inlineStr">
        <is>
          <t>cancel</t>
        </is>
      </c>
      <c r="U1105" s="1" t="n"/>
      <c r="V1105" s="1" t="n"/>
      <c r="Z1105">
        <f>IF(OR(K628="",K628="TABLE"),"",
_xlfn.TEXTJOIN(", ",TRUE,
IF(E628&lt;&gt;"",E628&amp;K628,""),
IF(F628&lt;&gt;"",F628&amp;K628,""),
IF(G628&lt;&gt;"",G628&amp;K628,"")
))</f>
        <v/>
      </c>
      <c r="AA1105">
        <f>IF(K628="","",IF(K628="TABLE","",K628))</f>
        <v/>
      </c>
      <c r="AB1105">
        <f>IF(ISNUMBER(SEARCH("기존변경필요",SUBSTITUTE(TRIM(V628),CHAR(10)," "))),"",
IFERROR(
  _xlfn.XLOOKUP(AA628,'기존 end point'!B:B,'기존 end point'!B:B,,0),
""))</f>
        <v/>
      </c>
    </row>
    <row r="1106">
      <c r="A1106" t="n">
        <v>628</v>
      </c>
      <c r="B1106" s="1" t="n"/>
      <c r="C1106" s="1" t="inlineStr">
        <is>
          <t>Steel Design</t>
        </is>
      </c>
      <c r="D1106" s="1" t="inlineStr">
        <is>
          <t>Design Input Data</t>
        </is>
      </c>
      <c r="E1106" s="1" t="inlineStr">
        <is>
          <t>Design Parameters</t>
        </is>
      </c>
      <c r="F1106" s="1" t="inlineStr">
        <is>
          <t>Combined Ratio Calculation Method for Circular Section</t>
        </is>
      </c>
      <c r="G1106" s="1" t="n"/>
      <c r="H1106" s="1" t="inlineStr">
        <is>
          <t>DESIGN</t>
        </is>
      </c>
      <c r="I1106" s="1" t="inlineStr">
        <is>
          <t>STEEL</t>
        </is>
      </c>
      <c r="J1106" s="1" t="inlineStr">
        <is>
          <t>KDS-41-30-2022</t>
        </is>
      </c>
      <c r="K1106" s="1">
        <f>_xlfn.XLOOKUP(F629,'PARAMETER 공통'!$B$4:$B$53,'PARAMETER 공통'!$D$4:$D$53,,0,1)</f>
        <v/>
      </c>
      <c r="L1106" s="1">
        <f>_xlfn.TEXTJOIN("/",TRUE,H629,I629,J629,K629)</f>
        <v/>
      </c>
      <c r="M1106" s="1" t="n"/>
      <c r="N1106" s="1" t="n"/>
      <c r="O1106" s="1" t="n"/>
      <c r="P1106" s="1" t="n"/>
      <c r="Q1106" s="1" t="n"/>
      <c r="R1106" s="1" t="n"/>
      <c r="S1106" s="1" t="n"/>
      <c r="T1106" s="1" t="inlineStr">
        <is>
          <t>progress</t>
        </is>
      </c>
      <c r="U1106" s="1" t="inlineStr">
        <is>
          <t>개발</t>
        </is>
      </c>
      <c r="V1106" s="1" t="n">
        <v>1</v>
      </c>
      <c r="X1106" s="4" t="inlineStr">
        <is>
          <t>CRCMC -&gt; CRCM</t>
        </is>
      </c>
      <c r="Z1106">
        <f>IF(OR(K629="",K629="TABLE"),"",
_xlfn.TEXTJOIN(", ",TRUE,
IF(E629&lt;&gt;"",E629&amp;K629,""),
IF(F629&lt;&gt;"",F629&amp;K629,""),
IF(G629&lt;&gt;"",G629&amp;K629,"")
))</f>
        <v/>
      </c>
      <c r="AA1106">
        <f>IF(K629="","",IF(K629="TABLE","",K629))</f>
        <v/>
      </c>
      <c r="AB1106">
        <f>IF(ISNUMBER(SEARCH("기존변경필요",SUBSTITUTE(TRIM(V629),CHAR(10)," "))),"",
IFERROR(
  _xlfn.XLOOKUP(AA629,'기존 end point'!B:B,'기존 end point'!B:B,,0),
""))</f>
        <v/>
      </c>
    </row>
    <row r="1107">
      <c r="A1107" t="n">
        <v>629</v>
      </c>
      <c r="B1107" s="1" t="n"/>
      <c r="C1107" s="1" t="inlineStr">
        <is>
          <t>Steel Design</t>
        </is>
      </c>
      <c r="D1107" s="1" t="inlineStr">
        <is>
          <t>Design Input Data</t>
        </is>
      </c>
      <c r="E1107" s="2" t="inlineStr">
        <is>
          <t>Modify Steel Material</t>
        </is>
      </c>
      <c r="F1107" s="2" t="n"/>
      <c r="G1107" s="2" t="n"/>
      <c r="H1107" s="2" t="inlineStr">
        <is>
          <t>DESIGN</t>
        </is>
      </c>
      <c r="I1107" s="2" t="inlineStr">
        <is>
          <t>STEEL</t>
        </is>
      </c>
      <c r="J1107" s="2" t="inlineStr">
        <is>
          <t>KDS-41-30-2022</t>
        </is>
      </c>
      <c r="K1107" s="2" t="inlineStr">
        <is>
          <t>SMODI</t>
        </is>
      </c>
      <c r="L1107" s="2">
        <f>_xlfn.TEXTJOIN("/",TRUE,H630,I630,J630,K630)</f>
        <v/>
      </c>
      <c r="M1107" s="2" t="n"/>
      <c r="N1107" s="2" t="inlineStr">
        <is>
          <t>done</t>
        </is>
      </c>
      <c r="O1107" s="2" t="n"/>
      <c r="P1107" s="2" t="n"/>
      <c r="Q1107" s="2" t="n"/>
      <c r="R1107" s="2" t="n"/>
      <c r="S1107" s="2" t="n"/>
      <c r="T1107" s="2" t="inlineStr">
        <is>
          <t>progress</t>
        </is>
      </c>
      <c r="U1107" s="2" t="inlineStr">
        <is>
          <t>기획</t>
        </is>
      </c>
      <c r="V1107" s="1" t="n">
        <v>1</v>
      </c>
      <c r="X1107" s="4" t="inlineStr">
        <is>
          <t>get, put 만 가능 T_MATD_D</t>
        </is>
      </c>
      <c r="Z1107">
        <f>IF(OR(K630="",K630="TABLE"),"",
_xlfn.TEXTJOIN(", ",TRUE,
IF(E630&lt;&gt;"",E630&amp;K630,""),
IF(F630&lt;&gt;"",F630&amp;K630,""),
IF(G630&lt;&gt;"",G630&amp;K630,"")
))</f>
        <v/>
      </c>
      <c r="AA1107">
        <f>IF(K630="","",IF(K630="TABLE","",K630))</f>
        <v/>
      </c>
      <c r="AB1107">
        <f>IF(ISNUMBER(SEARCH("기존변경필요",SUBSTITUTE(TRIM(V630),CHAR(10)," "))),"",
IFERROR(
  _xlfn.XLOOKUP(AA630,'기존 end point'!B:B,'기존 end point'!B:B,,0),
""))</f>
        <v/>
      </c>
    </row>
    <row r="1108">
      <c r="A1108" t="n">
        <v>630</v>
      </c>
      <c r="B1108" s="7" t="n"/>
      <c r="C1108" s="7" t="inlineStr">
        <is>
          <t>Steel Design</t>
        </is>
      </c>
      <c r="D1108" s="7" t="inlineStr">
        <is>
          <t>Table</t>
        </is>
      </c>
      <c r="E1108" s="7" t="inlineStr">
        <is>
          <t>Parameter Tables</t>
        </is>
      </c>
      <c r="F1108" s="7" t="inlineStr">
        <is>
          <t>Unbraced Length (L, Lb)</t>
        </is>
      </c>
      <c r="G1108" s="12" t="n"/>
      <c r="H1108" s="12" t="n"/>
      <c r="I1108" s="12" t="n"/>
      <c r="J1108" s="7" t="n"/>
      <c r="K1108" s="7" t="n"/>
      <c r="L1108" s="7" t="n"/>
      <c r="M1108" s="12" t="n"/>
      <c r="N1108" s="12" t="n"/>
      <c r="O1108" s="12" t="n"/>
      <c r="P1108" s="12" t="n"/>
      <c r="Q1108" s="12" t="n"/>
      <c r="R1108" s="12" t="n"/>
      <c r="S1108" s="12" t="n"/>
      <c r="T1108" s="11" t="inlineStr">
        <is>
          <t>cancel</t>
        </is>
      </c>
      <c r="U1108" s="12" t="n"/>
      <c r="V1108" s="7" t="inlineStr">
        <is>
          <t>(공통) GET 메서드에 동작</t>
        </is>
      </c>
      <c r="Z1108">
        <f>IF(OR(K631="",K631="TABLE"),"",
_xlfn.TEXTJOIN(", ",TRUE,
IF(E631&lt;&gt;"",E631&amp;K631,""),
IF(F631&lt;&gt;"",F631&amp;K631,""),
IF(G631&lt;&gt;"",G631&amp;K631,"")
))</f>
        <v/>
      </c>
      <c r="AA1108">
        <f>IF(K631="","",IF(K631="TABLE","",K631))</f>
        <v/>
      </c>
      <c r="AB1108">
        <f>IF(ISNUMBER(SEARCH("기존변경필요",SUBSTITUTE(TRIM(V631),CHAR(10)," "))),"",
IFERROR(
  _xlfn.XLOOKUP(AA631,'기존 end point'!B:B,'기존 end point'!B:B,,0),
""))</f>
        <v/>
      </c>
    </row>
    <row r="1109">
      <c r="A1109" t="n">
        <v>631</v>
      </c>
      <c r="B1109" s="7" t="n"/>
      <c r="C1109" s="7" t="inlineStr">
        <is>
          <t>Steel Design</t>
        </is>
      </c>
      <c r="D1109" s="7" t="inlineStr">
        <is>
          <t>Table</t>
        </is>
      </c>
      <c r="E1109" s="7" t="inlineStr">
        <is>
          <t>Parameter Tables</t>
        </is>
      </c>
      <c r="F1109" s="7" t="inlineStr">
        <is>
          <t>Effective Length Factor (K)</t>
        </is>
      </c>
      <c r="G1109" s="12" t="n"/>
      <c r="H1109" s="12" t="n"/>
      <c r="I1109" s="12" t="n"/>
      <c r="J1109" s="7" t="n"/>
      <c r="K1109" s="7" t="n"/>
      <c r="L1109" s="7" t="n"/>
      <c r="M1109" s="12" t="n"/>
      <c r="N1109" s="12" t="n"/>
      <c r="O1109" s="12" t="n"/>
      <c r="P1109" s="12" t="n"/>
      <c r="Q1109" s="12" t="n"/>
      <c r="R1109" s="12" t="n"/>
      <c r="S1109" s="12" t="n"/>
      <c r="T1109" s="11" t="inlineStr">
        <is>
          <t>cancel</t>
        </is>
      </c>
      <c r="U1109" s="12" t="n"/>
      <c r="V1109" s="7" t="inlineStr">
        <is>
          <t>(공통) GET 메서드에 동작</t>
        </is>
      </c>
      <c r="Z1109">
        <f>IF(OR(K632="",K632="TABLE"),"",
_xlfn.TEXTJOIN(", ",TRUE,
IF(E632&lt;&gt;"",E632&amp;K632,""),
IF(F632&lt;&gt;"",F632&amp;K632,""),
IF(G632&lt;&gt;"",G632&amp;K632,"")
))</f>
        <v/>
      </c>
      <c r="AA1109">
        <f>IF(K632="","",IF(K632="TABLE","",K632))</f>
        <v/>
      </c>
      <c r="AB1109">
        <f>IF(ISNUMBER(SEARCH("기존변경필요",SUBSTITUTE(TRIM(V632),CHAR(10)," "))),"",
IFERROR(
  _xlfn.XLOOKUP(AA632,'기존 end point'!B:B,'기존 end point'!B:B,,0),
""))</f>
        <v/>
      </c>
    </row>
    <row r="1110">
      <c r="A1110" t="n">
        <v>632</v>
      </c>
      <c r="B1110" s="7" t="n"/>
      <c r="C1110" s="7" t="inlineStr">
        <is>
          <t>Steel Design</t>
        </is>
      </c>
      <c r="D1110" s="7" t="inlineStr">
        <is>
          <t>Table</t>
        </is>
      </c>
      <c r="E1110" s="7" t="inlineStr">
        <is>
          <t>Parameter Tables</t>
        </is>
      </c>
      <c r="F1110" s="7" t="inlineStr">
        <is>
          <t>Limiting Slenderness Ratio</t>
        </is>
      </c>
      <c r="G1110" s="12" t="n"/>
      <c r="H1110" s="12" t="n"/>
      <c r="I1110" s="12" t="n"/>
      <c r="J1110" s="7" t="n"/>
      <c r="K1110" s="7" t="n"/>
      <c r="L1110" s="7" t="n"/>
      <c r="M1110" s="12" t="n"/>
      <c r="N1110" s="12" t="n"/>
      <c r="O1110" s="12" t="n"/>
      <c r="P1110" s="12" t="n"/>
      <c r="Q1110" s="12" t="n"/>
      <c r="R1110" s="12" t="n"/>
      <c r="S1110" s="12" t="n"/>
      <c r="T1110" s="11" t="inlineStr">
        <is>
          <t>cancel</t>
        </is>
      </c>
      <c r="U1110" s="12" t="n"/>
      <c r="V1110" s="7" t="inlineStr">
        <is>
          <t>(공통) GET 메서드에 동작</t>
        </is>
      </c>
      <c r="Z1110">
        <f>IF(OR(K633="",K633="TABLE"),"",
_xlfn.TEXTJOIN(", ",TRUE,
IF(E633&lt;&gt;"",E633&amp;K633,""),
IF(F633&lt;&gt;"",F633&amp;K633,""),
IF(G633&lt;&gt;"",G633&amp;K633,"")
))</f>
        <v/>
      </c>
      <c r="AA1110">
        <f>IF(K633="","",IF(K633="TABLE","",K633))</f>
        <v/>
      </c>
      <c r="AB1110">
        <f>IF(ISNUMBER(SEARCH("기존변경필요",SUBSTITUTE(TRIM(V633),CHAR(10)," "))),"",
IFERROR(
  _xlfn.XLOOKUP(AA633,'기존 end point'!B:B,'기존 end point'!B:B,,0),
""))</f>
        <v/>
      </c>
    </row>
    <row r="1111">
      <c r="A1111" t="n">
        <v>633</v>
      </c>
      <c r="B1111" s="7" t="n"/>
      <c r="C1111" s="7" t="inlineStr">
        <is>
          <t>Steel Design</t>
        </is>
      </c>
      <c r="D1111" s="7" t="inlineStr">
        <is>
          <t>Table</t>
        </is>
      </c>
      <c r="E1111" s="7" t="inlineStr">
        <is>
          <t>Parameter Tables</t>
        </is>
      </c>
      <c r="F1111" s="7" t="inlineStr">
        <is>
          <t>Equivalent Moment Correction Factor(Cm)</t>
        </is>
      </c>
      <c r="G1111" s="12" t="n"/>
      <c r="H1111" s="12" t="n"/>
      <c r="I1111" s="12" t="n"/>
      <c r="J1111" s="7" t="n"/>
      <c r="K1111" s="7" t="n"/>
      <c r="L1111" s="7" t="n"/>
      <c r="M1111" s="12" t="n"/>
      <c r="N1111" s="12" t="n"/>
      <c r="O1111" s="12" t="n"/>
      <c r="P1111" s="12" t="n"/>
      <c r="Q1111" s="12" t="n"/>
      <c r="R1111" s="12" t="n"/>
      <c r="S1111" s="12" t="n"/>
      <c r="T1111" s="11" t="inlineStr">
        <is>
          <t>cancel</t>
        </is>
      </c>
      <c r="U1111" s="12" t="n"/>
      <c r="V1111" s="7" t="inlineStr">
        <is>
          <t>(공통) GET 메서드에 동작</t>
        </is>
      </c>
      <c r="Z1111">
        <f>IF(OR(K634="",K634="TABLE"),"",
_xlfn.TEXTJOIN(", ",TRUE,
IF(E634&lt;&gt;"",E634&amp;K634,""),
IF(F634&lt;&gt;"",F634&amp;K634,""),
IF(G634&lt;&gt;"",G634&amp;K634,"")
))</f>
        <v/>
      </c>
      <c r="AA1111">
        <f>IF(K634="","",IF(K634="TABLE","",K634))</f>
        <v/>
      </c>
      <c r="AB1111">
        <f>IF(ISNUMBER(SEARCH("기존변경필요",SUBSTITUTE(TRIM(V634),CHAR(10)," "))),"",
IFERROR(
  _xlfn.XLOOKUP(AA634,'기존 end point'!B:B,'기존 end point'!B:B,,0),
""))</f>
        <v/>
      </c>
    </row>
    <row r="1112">
      <c r="A1112" t="n">
        <v>634</v>
      </c>
      <c r="B1112" s="7" t="n"/>
      <c r="C1112" s="7" t="inlineStr">
        <is>
          <t>Steel Design</t>
        </is>
      </c>
      <c r="D1112" s="7" t="inlineStr">
        <is>
          <t>Table</t>
        </is>
      </c>
      <c r="E1112" s="7" t="inlineStr">
        <is>
          <t>Parameter Tables</t>
        </is>
      </c>
      <c r="F1112" s="7" t="inlineStr">
        <is>
          <t>Moment Magnifier(B1/Delta_b, B2/Delta_s)</t>
        </is>
      </c>
      <c r="G1112" s="12" t="n"/>
      <c r="H1112" s="12" t="n"/>
      <c r="I1112" s="12" t="n"/>
      <c r="J1112" s="7" t="n"/>
      <c r="K1112" s="7" t="n"/>
      <c r="L1112" s="7" t="n"/>
      <c r="M1112" s="12" t="n"/>
      <c r="N1112" s="12" t="n"/>
      <c r="O1112" s="12" t="n"/>
      <c r="P1112" s="12" t="n"/>
      <c r="Q1112" s="12" t="n"/>
      <c r="R1112" s="12" t="n"/>
      <c r="S1112" s="12" t="n"/>
      <c r="T1112" s="11" t="inlineStr">
        <is>
          <t>cancel</t>
        </is>
      </c>
      <c r="U1112" s="12" t="n"/>
      <c r="V1112" s="7" t="inlineStr">
        <is>
          <t>(공통) GET 메서드에 동작</t>
        </is>
      </c>
      <c r="Z1112">
        <f>IF(OR(K635="",K635="TABLE"),"",
_xlfn.TEXTJOIN(", ",TRUE,
IF(E635&lt;&gt;"",E635&amp;K635,""),
IF(F635&lt;&gt;"",F635&amp;K635,""),
IF(G635&lt;&gt;"",G635&amp;K635,"")
))</f>
        <v/>
      </c>
      <c r="AA1112">
        <f>IF(K635="","",IF(K635="TABLE","",K635))</f>
        <v/>
      </c>
      <c r="AB1112">
        <f>IF(ISNUMBER(SEARCH("기존변경필요",SUBSTITUTE(TRIM(V635),CHAR(10)," "))),"",
IFERROR(
  _xlfn.XLOOKUP(AA635,'기존 end point'!B:B,'기존 end point'!B:B,,0),
""))</f>
        <v/>
      </c>
    </row>
    <row r="1113">
      <c r="A1113" t="n">
        <v>635</v>
      </c>
      <c r="B1113" s="7" t="n"/>
      <c r="C1113" s="7" t="inlineStr">
        <is>
          <t>Steel Design</t>
        </is>
      </c>
      <c r="D1113" s="7" t="inlineStr">
        <is>
          <t>Table</t>
        </is>
      </c>
      <c r="E1113" s="7" t="inlineStr">
        <is>
          <t>Parameter Tables</t>
        </is>
      </c>
      <c r="F1113" s="7" t="inlineStr">
        <is>
          <t>Modify Live Load Reduction Factor</t>
        </is>
      </c>
      <c r="G1113" s="12" t="n"/>
      <c r="H1113" s="12" t="n"/>
      <c r="I1113" s="12" t="n"/>
      <c r="J1113" s="7" t="n"/>
      <c r="K1113" s="7" t="n"/>
      <c r="L1113" s="7" t="n"/>
      <c r="M1113" s="12" t="n"/>
      <c r="N1113" s="12" t="n"/>
      <c r="O1113" s="12" t="n"/>
      <c r="P1113" s="12" t="n"/>
      <c r="Q1113" s="12" t="n"/>
      <c r="R1113" s="12" t="n"/>
      <c r="S1113" s="12" t="n"/>
      <c r="T1113" s="11" t="inlineStr">
        <is>
          <t>cancel</t>
        </is>
      </c>
      <c r="U1113" s="12" t="n"/>
      <c r="V1113" s="7" t="inlineStr">
        <is>
          <t>(공통) GET 메서드에 동작</t>
        </is>
      </c>
      <c r="Z1113">
        <f>IF(OR(K636="",K636="TABLE"),"",
_xlfn.TEXTJOIN(", ",TRUE,
IF(E636&lt;&gt;"",E636&amp;K636,""),
IF(F636&lt;&gt;"",F636&amp;K636,""),
IF(G636&lt;&gt;"",G636&amp;K636,"")
))</f>
        <v/>
      </c>
      <c r="AA1113">
        <f>IF(K636="","",IF(K636="TABLE","",K636))</f>
        <v/>
      </c>
      <c r="AB1113">
        <f>IF(ISNUMBER(SEARCH("기존변경필요",SUBSTITUTE(TRIM(V636),CHAR(10)," "))),"",
IFERROR(
  _xlfn.XLOOKUP(AA636,'기존 end point'!B:B,'기존 end point'!B:B,,0),
""))</f>
        <v/>
      </c>
    </row>
    <row r="1114">
      <c r="A1114" t="n">
        <v>636</v>
      </c>
      <c r="B1114" s="7" t="n"/>
      <c r="C1114" s="7" t="inlineStr">
        <is>
          <t>Steel Design</t>
        </is>
      </c>
      <c r="D1114" s="7" t="inlineStr">
        <is>
          <t>Table</t>
        </is>
      </c>
      <c r="E1114" s="7" t="inlineStr">
        <is>
          <t>Parameter Tables</t>
        </is>
      </c>
      <c r="F1114" s="7" t="inlineStr">
        <is>
          <t>Scale up Factor for Earthquake</t>
        </is>
      </c>
      <c r="G1114" s="12" t="n"/>
      <c r="H1114" s="12" t="n"/>
      <c r="I1114" s="12" t="n"/>
      <c r="J1114" s="7" t="n"/>
      <c r="K1114" s="7" t="n"/>
      <c r="L1114" s="7" t="n"/>
      <c r="M1114" s="12" t="n"/>
      <c r="N1114" s="12" t="n"/>
      <c r="O1114" s="12" t="n"/>
      <c r="P1114" s="12" t="n"/>
      <c r="Q1114" s="12" t="n"/>
      <c r="R1114" s="12" t="n"/>
      <c r="S1114" s="12" t="n"/>
      <c r="T1114" s="11" t="inlineStr">
        <is>
          <t>cancel</t>
        </is>
      </c>
      <c r="U1114" s="12" t="n"/>
      <c r="V1114" s="7" t="inlineStr">
        <is>
          <t>(공통) GET 메서드에 동작</t>
        </is>
      </c>
      <c r="Z1114">
        <f>IF(OR(K637="",K637="TABLE"),"",
_xlfn.TEXTJOIN(", ",TRUE,
IF(E637&lt;&gt;"",E637&amp;K637,""),
IF(F637&lt;&gt;"",F637&amp;K637,""),
IF(G637&lt;&gt;"",G637&amp;K637,"")
))</f>
        <v/>
      </c>
      <c r="AA1114">
        <f>IF(K637="","",IF(K637="TABLE","",K637))</f>
        <v/>
      </c>
      <c r="AB1114">
        <f>IF(ISNUMBER(SEARCH("기존변경필요",SUBSTITUTE(TRIM(V637),CHAR(10)," "))),"",
IFERROR(
  _xlfn.XLOOKUP(AA637,'기존 end point'!B:B,'기존 end point'!B:B,,0),
""))</f>
        <v/>
      </c>
    </row>
    <row r="1115">
      <c r="A1115" t="n">
        <v>637</v>
      </c>
      <c r="B1115" s="7" t="n"/>
      <c r="C1115" s="7" t="inlineStr">
        <is>
          <t>Steel Design</t>
        </is>
      </c>
      <c r="D1115" s="7" t="inlineStr">
        <is>
          <t>Table</t>
        </is>
      </c>
      <c r="E1115" s="7" t="inlineStr">
        <is>
          <t>Parameter Tables</t>
        </is>
      </c>
      <c r="F1115" s="7" t="inlineStr">
        <is>
          <t>Modify Member Type</t>
        </is>
      </c>
      <c r="G1115" s="12" t="n"/>
      <c r="H1115" s="12" t="n"/>
      <c r="I1115" s="12" t="n"/>
      <c r="J1115" s="7" t="n"/>
      <c r="K1115" s="7" t="n"/>
      <c r="L1115" s="7" t="n"/>
      <c r="M1115" s="12" t="n"/>
      <c r="N1115" s="12" t="n"/>
      <c r="O1115" s="12" t="n"/>
      <c r="P1115" s="12" t="n"/>
      <c r="Q1115" s="12" t="n"/>
      <c r="R1115" s="12" t="n"/>
      <c r="S1115" s="12" t="n"/>
      <c r="T1115" s="11" t="inlineStr">
        <is>
          <t>cancel</t>
        </is>
      </c>
      <c r="U1115" s="12" t="n"/>
      <c r="V1115" s="7" t="inlineStr">
        <is>
          <t>(공통) GET 메서드에 동작</t>
        </is>
      </c>
      <c r="Z1115">
        <f>IF(OR(K638="",K638="TABLE"),"",
_xlfn.TEXTJOIN(", ",TRUE,
IF(E638&lt;&gt;"",E638&amp;K638,""),
IF(F638&lt;&gt;"",F638&amp;K638,""),
IF(G638&lt;&gt;"",G638&amp;K638,"")
))</f>
        <v/>
      </c>
      <c r="AA1115">
        <f>IF(K638="","",IF(K638="TABLE","",K638))</f>
        <v/>
      </c>
      <c r="AB1115">
        <f>IF(ISNUMBER(SEARCH("기존변경필요",SUBSTITUTE(TRIM(V638),CHAR(10)," "))),"",
IFERROR(
  _xlfn.XLOOKUP(AA638,'기존 end point'!B:B,'기존 end point'!B:B,,0),
""))</f>
        <v/>
      </c>
    </row>
    <row r="1116">
      <c r="A1116" t="n">
        <v>638</v>
      </c>
      <c r="B1116" s="7" t="n"/>
      <c r="C1116" s="7" t="inlineStr">
        <is>
          <t>Steel Design</t>
        </is>
      </c>
      <c r="D1116" s="7" t="inlineStr">
        <is>
          <t>Table</t>
        </is>
      </c>
      <c r="E1116" s="7" t="inlineStr">
        <is>
          <t>Parameter Tables</t>
        </is>
      </c>
      <c r="F1116" s="7" t="inlineStr">
        <is>
          <t>Seismic Load Combination Type</t>
        </is>
      </c>
      <c r="G1116" s="12" t="n"/>
      <c r="H1116" s="12" t="n"/>
      <c r="I1116" s="12" t="n"/>
      <c r="J1116" s="7" t="n"/>
      <c r="K1116" s="7" t="n"/>
      <c r="L1116" s="7" t="n"/>
      <c r="M1116" s="12" t="n"/>
      <c r="N1116" s="12" t="n"/>
      <c r="O1116" s="12" t="n"/>
      <c r="P1116" s="12" t="n"/>
      <c r="Q1116" s="12" t="n"/>
      <c r="R1116" s="12" t="n"/>
      <c r="S1116" s="12" t="n"/>
      <c r="T1116" s="11" t="inlineStr">
        <is>
          <t>cancel</t>
        </is>
      </c>
      <c r="U1116" s="12" t="n"/>
      <c r="V1116" s="7" t="inlineStr">
        <is>
          <t>(공통) GET 메서드에 동작</t>
        </is>
      </c>
      <c r="Z1116">
        <f>IF(OR(K639="",K639="TABLE"),"",
_xlfn.TEXTJOIN(", ",TRUE,
IF(E639&lt;&gt;"",E639&amp;K639,""),
IF(F639&lt;&gt;"",F639&amp;K639,""),
IF(G639&lt;&gt;"",G639&amp;K639,"")
))</f>
        <v/>
      </c>
      <c r="AA1116">
        <f>IF(K639="","",IF(K639="TABLE","",K639))</f>
        <v/>
      </c>
      <c r="AB1116">
        <f>IF(ISNUMBER(SEARCH("기존변경필요",SUBSTITUTE(TRIM(V639),CHAR(10)," "))),"",
IFERROR(
  _xlfn.XLOOKUP(AA639,'기존 end point'!B:B,'기존 end point'!B:B,,0),
""))</f>
        <v/>
      </c>
    </row>
    <row r="1117">
      <c r="A1117" t="n">
        <v>639</v>
      </c>
      <c r="B1117" s="7" t="n"/>
      <c r="C1117" s="7" t="inlineStr">
        <is>
          <t>Steel Design</t>
        </is>
      </c>
      <c r="D1117" s="7" t="inlineStr">
        <is>
          <t>Table</t>
        </is>
      </c>
      <c r="E1117" s="7" t="inlineStr">
        <is>
          <t>Parameter Tables</t>
        </is>
      </c>
      <c r="F1117" s="7" t="inlineStr">
        <is>
          <t>Undergroung Load Combination Type</t>
        </is>
      </c>
      <c r="G1117" s="12" t="n"/>
      <c r="H1117" s="12" t="n"/>
      <c r="I1117" s="12" t="n"/>
      <c r="J1117" s="7" t="n"/>
      <c r="K1117" s="7" t="n"/>
      <c r="L1117" s="7" t="n"/>
      <c r="M1117" s="12" t="n"/>
      <c r="N1117" s="12" t="n"/>
      <c r="O1117" s="12" t="n"/>
      <c r="P1117" s="12" t="n"/>
      <c r="Q1117" s="12" t="n"/>
      <c r="R1117" s="12" t="n"/>
      <c r="S1117" s="12" t="n"/>
      <c r="T1117" s="11" t="inlineStr">
        <is>
          <t>cancel</t>
        </is>
      </c>
      <c r="U1117" s="12" t="n"/>
      <c r="V1117" s="7" t="inlineStr">
        <is>
          <t>(공통) GET 메서드에 동작</t>
        </is>
      </c>
      <c r="Z1117">
        <f>IF(OR(K640="",K640="TABLE"),"",
_xlfn.TEXTJOIN(", ",TRUE,
IF(E640&lt;&gt;"",E640&amp;K640,""),
IF(F640&lt;&gt;"",F640&amp;K640,""),
IF(G640&lt;&gt;"",G640&amp;K640,"")
))</f>
        <v/>
      </c>
      <c r="AA1117">
        <f>IF(K640="","",IF(K640="TABLE","",K640))</f>
        <v/>
      </c>
      <c r="AB1117">
        <f>IF(ISNUMBER(SEARCH("기존변경필요",SUBSTITUTE(TRIM(V640),CHAR(10)," "))),"",
IFERROR(
  _xlfn.XLOOKUP(AA640,'기존 end point'!B:B,'기존 end point'!B:B,,0),
""))</f>
        <v/>
      </c>
    </row>
    <row r="1118">
      <c r="A1118" t="n">
        <v>640</v>
      </c>
      <c r="B1118" s="7" t="n"/>
      <c r="C1118" s="7" t="inlineStr">
        <is>
          <t>Steel Design</t>
        </is>
      </c>
      <c r="D1118" s="7" t="inlineStr">
        <is>
          <t>Table</t>
        </is>
      </c>
      <c r="E1118" s="7" t="inlineStr">
        <is>
          <t>Parameter Tables</t>
        </is>
      </c>
      <c r="F1118" s="7" t="inlineStr">
        <is>
          <t>Serviceability Parameters</t>
        </is>
      </c>
      <c r="G1118" s="12" t="n"/>
      <c r="H1118" s="12" t="n"/>
      <c r="I1118" s="12" t="n"/>
      <c r="J1118" s="7" t="n"/>
      <c r="K1118" s="7" t="n"/>
      <c r="L1118" s="12" t="n"/>
      <c r="M1118" s="12" t="n"/>
      <c r="N1118" s="12" t="n"/>
      <c r="O1118" s="12" t="n"/>
      <c r="P1118" s="12" t="n"/>
      <c r="Q1118" s="12" t="n"/>
      <c r="R1118" s="12" t="n"/>
      <c r="S1118" s="12" t="n"/>
      <c r="T1118" s="11" t="inlineStr">
        <is>
          <t>cancel</t>
        </is>
      </c>
      <c r="U1118" s="12" t="n"/>
      <c r="V1118" s="7" t="inlineStr">
        <is>
          <t>(공통) GET 메서드에 동작</t>
        </is>
      </c>
      <c r="Z1118">
        <f>IF(OR(K641="",K641="TABLE"),"",
_xlfn.TEXTJOIN(", ",TRUE,
IF(E641&lt;&gt;"",E641&amp;K641,""),
IF(F641&lt;&gt;"",F641&amp;K641,""),
IF(G641&lt;&gt;"",G641&amp;K641,"")
))</f>
        <v/>
      </c>
      <c r="AA1118">
        <f>IF(K641="","",IF(K641="TABLE","",K641))</f>
        <v/>
      </c>
      <c r="AB1118">
        <f>IF(ISNUMBER(SEARCH("기존변경필요",SUBSTITUTE(TRIM(V641),CHAR(10)," "))),"",
IFERROR(
  _xlfn.XLOOKUP(AA641,'기존 end point'!B:B,'기존 end point'!B:B,,0),
""))</f>
        <v/>
      </c>
    </row>
    <row r="1119">
      <c r="A1119" t="n">
        <v>641</v>
      </c>
      <c r="B1119" s="7" t="n"/>
      <c r="C1119" s="7" t="inlineStr">
        <is>
          <t>Steel Design</t>
        </is>
      </c>
      <c r="D1119" s="7" t="inlineStr">
        <is>
          <t>Table</t>
        </is>
      </c>
      <c r="E1119" s="7" t="inlineStr">
        <is>
          <t>Parameter Tables</t>
        </is>
      </c>
      <c r="F1119" s="7" t="inlineStr">
        <is>
          <t>Bending Coefficient(Cb)</t>
        </is>
      </c>
      <c r="G1119" s="12" t="n"/>
      <c r="H1119" s="12" t="n"/>
      <c r="I1119" s="12" t="n"/>
      <c r="J1119" s="7" t="n"/>
      <c r="K1119" s="7" t="n"/>
      <c r="L1119" s="12" t="n"/>
      <c r="M1119" s="12" t="n"/>
      <c r="N1119" s="12" t="n"/>
      <c r="O1119" s="12" t="n"/>
      <c r="P1119" s="12" t="n"/>
      <c r="Q1119" s="12" t="n"/>
      <c r="R1119" s="12" t="n"/>
      <c r="S1119" s="12" t="n"/>
      <c r="T1119" s="11" t="inlineStr">
        <is>
          <t>cancel</t>
        </is>
      </c>
      <c r="U1119" s="12" t="n"/>
      <c r="V1119" s="7" t="inlineStr">
        <is>
          <t>(공통) GET 메서드에 동작</t>
        </is>
      </c>
      <c r="Z1119">
        <f>IF(OR(K642="",K642="TABLE"),"",
_xlfn.TEXTJOIN(", ",TRUE,
IF(E642&lt;&gt;"",E642&amp;K642,""),
IF(F642&lt;&gt;"",F642&amp;K642,""),
IF(G642&lt;&gt;"",G642&amp;K642,"")
))</f>
        <v/>
      </c>
      <c r="AA1119">
        <f>IF(K642="","",IF(K642="TABLE","",K642))</f>
        <v/>
      </c>
      <c r="AB1119">
        <f>IF(ISNUMBER(SEARCH("기존변경필요",SUBSTITUTE(TRIM(V642),CHAR(10)," "))),"",
IFERROR(
  _xlfn.XLOOKUP(AA642,'기존 end point'!B:B,'기존 end point'!B:B,,0),
""))</f>
        <v/>
      </c>
    </row>
    <row r="1120">
      <c r="A1120" t="n">
        <v>642</v>
      </c>
      <c r="B1120" s="7" t="n"/>
      <c r="C1120" s="7" t="inlineStr">
        <is>
          <t>Steel Design</t>
        </is>
      </c>
      <c r="D1120" s="7" t="inlineStr">
        <is>
          <t>Table</t>
        </is>
      </c>
      <c r="E1120" s="7" t="inlineStr">
        <is>
          <t>Parameter Tables</t>
        </is>
      </c>
      <c r="F1120" s="7" t="inlineStr">
        <is>
          <t>Shear Coefficient(Cv)</t>
        </is>
      </c>
      <c r="G1120" s="12" t="n"/>
      <c r="H1120" s="12" t="n"/>
      <c r="I1120" s="12" t="n"/>
      <c r="J1120" s="7" t="n"/>
      <c r="K1120" s="7" t="n"/>
      <c r="L1120" s="12" t="n"/>
      <c r="M1120" s="12" t="n"/>
      <c r="N1120" s="12" t="n"/>
      <c r="O1120" s="12" t="n"/>
      <c r="P1120" s="12" t="n"/>
      <c r="Q1120" s="12" t="n"/>
      <c r="R1120" s="12" t="n"/>
      <c r="S1120" s="12" t="n"/>
      <c r="T1120" s="11" t="inlineStr">
        <is>
          <t>cancel</t>
        </is>
      </c>
      <c r="U1120" s="12" t="n"/>
      <c r="V1120" s="7" t="inlineStr">
        <is>
          <t>(공통) GET 메서드에 동작</t>
        </is>
      </c>
      <c r="Z1120">
        <f>IF(OR(K643="",K643="TABLE"),"",
_xlfn.TEXTJOIN(", ",TRUE,
IF(E643&lt;&gt;"",E643&amp;K643,""),
IF(F643&lt;&gt;"",F643&amp;K643,""),
IF(G643&lt;&gt;"",G643&amp;K643,"")
))</f>
        <v/>
      </c>
      <c r="AA1120">
        <f>IF(K643="","",IF(K643="TABLE","",K643))</f>
        <v/>
      </c>
      <c r="AB1120">
        <f>IF(ISNUMBER(SEARCH("기존변경필요",SUBSTITUTE(TRIM(V643),CHAR(10)," "))),"",
IFERROR(
  _xlfn.XLOOKUP(AA643,'기존 end point'!B:B,'기존 end point'!B:B,,0),
""))</f>
        <v/>
      </c>
    </row>
    <row r="1121">
      <c r="A1121" t="n">
        <v>643</v>
      </c>
      <c r="B1121" s="7" t="n"/>
      <c r="C1121" s="7" t="inlineStr">
        <is>
          <t>Steel Design</t>
        </is>
      </c>
      <c r="D1121" s="7" t="inlineStr">
        <is>
          <t>Table</t>
        </is>
      </c>
      <c r="E1121" s="7" t="inlineStr">
        <is>
          <t>Parameter Tables</t>
        </is>
      </c>
      <c r="F1121" s="7" t="inlineStr">
        <is>
          <t>Specify Allowable Stresses</t>
        </is>
      </c>
      <c r="G1121" s="12" t="n"/>
      <c r="H1121" s="12" t="n"/>
      <c r="I1121" s="12" t="n"/>
      <c r="J1121" s="7" t="n"/>
      <c r="K1121" s="7" t="n"/>
      <c r="L1121" s="12" t="n"/>
      <c r="M1121" s="12" t="n"/>
      <c r="N1121" s="12" t="n"/>
      <c r="O1121" s="12" t="n"/>
      <c r="P1121" s="12" t="n"/>
      <c r="Q1121" s="12" t="n"/>
      <c r="R1121" s="12" t="n"/>
      <c r="S1121" s="12" t="n"/>
      <c r="T1121" s="11" t="inlineStr">
        <is>
          <t>cancel</t>
        </is>
      </c>
      <c r="U1121" s="12" t="n"/>
      <c r="V1121" s="7" t="inlineStr">
        <is>
          <t>(공통) GET 메서드에 동작</t>
        </is>
      </c>
      <c r="Z1121">
        <f>IF(OR(K644="",K644="TABLE"),"",
_xlfn.TEXTJOIN(", ",TRUE,
IF(E644&lt;&gt;"",E644&amp;K644,""),
IF(F644&lt;&gt;"",F644&amp;K644,""),
IF(G644&lt;&gt;"",G644&amp;K644,"")
))</f>
        <v/>
      </c>
      <c r="AA1121">
        <f>IF(K644="","",IF(K644="TABLE","",K644))</f>
        <v/>
      </c>
      <c r="AB1121">
        <f>IF(ISNUMBER(SEARCH("기존변경필요",SUBSTITUTE(TRIM(V644),CHAR(10)," "))),"",
IFERROR(
  _xlfn.XLOOKUP(AA644,'기존 end point'!B:B,'기존 end point'!B:B,,0),
""))</f>
        <v/>
      </c>
    </row>
    <row r="1122">
      <c r="A1122" t="n">
        <v>644</v>
      </c>
      <c r="B1122" s="7" t="n"/>
      <c r="C1122" s="7" t="inlineStr">
        <is>
          <t>Steel Design</t>
        </is>
      </c>
      <c r="D1122" s="7" t="inlineStr">
        <is>
          <t>Table</t>
        </is>
      </c>
      <c r="E1122" s="7" t="inlineStr">
        <is>
          <t>Parameter Tables</t>
        </is>
      </c>
      <c r="F1122" s="7" t="inlineStr">
        <is>
          <t>Seismic Load Resisting System by Member</t>
        </is>
      </c>
      <c r="G1122" s="12" t="n"/>
      <c r="H1122" s="12" t="n"/>
      <c r="I1122" s="12" t="n"/>
      <c r="J1122" s="7" t="n"/>
      <c r="K1122" s="7" t="n"/>
      <c r="L1122" s="12" t="n"/>
      <c r="M1122" s="12" t="n"/>
      <c r="N1122" s="12" t="n"/>
      <c r="O1122" s="12" t="n"/>
      <c r="P1122" s="12" t="n"/>
      <c r="Q1122" s="12" t="n"/>
      <c r="R1122" s="12" t="n"/>
      <c r="S1122" s="12" t="n"/>
      <c r="T1122" s="11" t="inlineStr">
        <is>
          <t>cancel</t>
        </is>
      </c>
      <c r="U1122" s="12" t="n"/>
      <c r="V1122" s="7" t="inlineStr">
        <is>
          <t>(공통) GET 메서드에 동작</t>
        </is>
      </c>
      <c r="Z1122">
        <f>IF(OR(K645="",K645="TABLE"),"",
_xlfn.TEXTJOIN(", ",TRUE,
IF(E645&lt;&gt;"",E645&amp;K645,""),
IF(F645&lt;&gt;"",F645&amp;K645,""),
IF(G645&lt;&gt;"",G645&amp;K645,"")
))</f>
        <v/>
      </c>
      <c r="AA1122">
        <f>IF(K645="","",IF(K645="TABLE","",K645))</f>
        <v/>
      </c>
      <c r="AB1122">
        <f>IF(ISNUMBER(SEARCH("기존변경필요",SUBSTITUTE(TRIM(V645),CHAR(10)," "))),"",
IFERROR(
  _xlfn.XLOOKUP(AA645,'기존 end point'!B:B,'기존 end point'!B:B,,0),
""))</f>
        <v/>
      </c>
    </row>
    <row r="1123">
      <c r="A1123" t="n">
        <v>645</v>
      </c>
      <c r="B1123" s="7" t="n"/>
      <c r="C1123" s="7" t="inlineStr">
        <is>
          <t>Steel Design</t>
        </is>
      </c>
      <c r="D1123" s="7" t="inlineStr">
        <is>
          <t>Table</t>
        </is>
      </c>
      <c r="E1123" s="7" t="inlineStr">
        <is>
          <t>Parameter Tables</t>
        </is>
      </c>
      <c r="F1123" s="7" t="inlineStr">
        <is>
          <t>Longitudinal Stiffener of Box Section</t>
        </is>
      </c>
      <c r="G1123" s="12" t="n"/>
      <c r="H1123" s="12" t="n"/>
      <c r="I1123" s="12" t="n"/>
      <c r="J1123" s="7" t="n"/>
      <c r="K1123" s="7" t="n"/>
      <c r="L1123" s="12" t="n"/>
      <c r="M1123" s="12" t="n"/>
      <c r="N1123" s="12" t="n"/>
      <c r="O1123" s="12" t="n"/>
      <c r="P1123" s="12" t="n"/>
      <c r="Q1123" s="12" t="n"/>
      <c r="R1123" s="12" t="n"/>
      <c r="S1123" s="12" t="n"/>
      <c r="T1123" s="11" t="inlineStr">
        <is>
          <t>cancel</t>
        </is>
      </c>
      <c r="U1123" s="12" t="n"/>
      <c r="V1123" s="7" t="inlineStr">
        <is>
          <t>(공통) GET 메서드에 동작</t>
        </is>
      </c>
      <c r="Z1123">
        <f>IF(OR(K646="",K646="TABLE"),"",
_xlfn.TEXTJOIN(", ",TRUE,
IF(E646&lt;&gt;"",E646&amp;K646,""),
IF(F646&lt;&gt;"",F646&amp;K646,""),
IF(G646&lt;&gt;"",G646&amp;K646,"")
))</f>
        <v/>
      </c>
      <c r="AA1123">
        <f>IF(K646="","",IF(K646="TABLE","",K646))</f>
        <v/>
      </c>
      <c r="AB1123">
        <f>IF(ISNUMBER(SEARCH("기존변경필요",SUBSTITUTE(TRIM(V646),CHAR(10)," "))),"",
IFERROR(
  _xlfn.XLOOKUP(AA646,'기존 end point'!B:B,'기존 end point'!B:B,,0),
""))</f>
        <v/>
      </c>
    </row>
    <row r="1124">
      <c r="A1124" t="n">
        <v>646</v>
      </c>
      <c r="B1124" s="7" t="n"/>
      <c r="C1124" s="7" t="inlineStr">
        <is>
          <t>Steel Design</t>
        </is>
      </c>
      <c r="D1124" s="7" t="inlineStr">
        <is>
          <t>Table</t>
        </is>
      </c>
      <c r="E1124" s="7" t="inlineStr">
        <is>
          <t>Parameter Tables</t>
        </is>
      </c>
      <c r="F1124" s="7" t="inlineStr">
        <is>
          <t>Combined Ratio Calculation Method for Circular Section</t>
        </is>
      </c>
      <c r="G1124" s="12" t="n"/>
      <c r="H1124" s="12" t="n"/>
      <c r="I1124" s="12" t="n"/>
      <c r="J1124" s="7" t="n"/>
      <c r="K1124" s="7" t="n"/>
      <c r="L1124" s="12" t="n"/>
      <c r="M1124" s="12" t="n"/>
      <c r="N1124" s="12" t="n"/>
      <c r="O1124" s="12" t="n"/>
      <c r="P1124" s="12" t="n"/>
      <c r="Q1124" s="12" t="n"/>
      <c r="R1124" s="12" t="n"/>
      <c r="S1124" s="12" t="n"/>
      <c r="T1124" s="11" t="inlineStr">
        <is>
          <t>cancel</t>
        </is>
      </c>
      <c r="U1124" s="12" t="n"/>
      <c r="V1124" s="7" t="inlineStr">
        <is>
          <t>(공통) GET 메서드에 동작</t>
        </is>
      </c>
      <c r="Z1124">
        <f>IF(OR(K647="",K647="TABLE"),"",
_xlfn.TEXTJOIN(", ",TRUE,
IF(E647&lt;&gt;"",E647&amp;K647,""),
IF(F647&lt;&gt;"",F647&amp;K647,""),
IF(G647&lt;&gt;"",G647&amp;K647,"")
))</f>
        <v/>
      </c>
      <c r="AA1124">
        <f>IF(K647="","",IF(K647="TABLE","",K647))</f>
        <v/>
      </c>
      <c r="AB1124">
        <f>IF(ISNUMBER(SEARCH("기존변경필요",SUBSTITUTE(TRIM(V647),CHAR(10)," "))),"",
IFERROR(
  _xlfn.XLOOKUP(AA647,'기존 end point'!B:B,'기존 end point'!B:B,,0),
""))</f>
        <v/>
      </c>
    </row>
    <row r="1125">
      <c r="A1125" t="n">
        <v>647</v>
      </c>
      <c r="B1125" s="7" t="n"/>
      <c r="C1125" s="7" t="inlineStr">
        <is>
          <t>Steel Design</t>
        </is>
      </c>
      <c r="D1125" s="7" t="inlineStr">
        <is>
          <t>Table</t>
        </is>
      </c>
      <c r="E1125" s="7" t="inlineStr">
        <is>
          <t>Parameter Tables</t>
        </is>
      </c>
      <c r="F1125" s="7" t="inlineStr">
        <is>
          <t>Design Parameter Detail Table</t>
        </is>
      </c>
      <c r="G1125" s="12" t="n"/>
      <c r="H1125" s="12" t="n"/>
      <c r="I1125" s="12" t="n"/>
      <c r="J1125" s="7" t="n"/>
      <c r="K1125" s="7" t="n"/>
      <c r="L1125" s="12" t="n"/>
      <c r="M1125" s="12" t="n"/>
      <c r="N1125" s="12" t="n"/>
      <c r="O1125" s="12" t="n"/>
      <c r="P1125" s="12" t="n"/>
      <c r="Q1125" s="12" t="n"/>
      <c r="R1125" s="12" t="n"/>
      <c r="S1125" s="12" t="n"/>
      <c r="T1125" s="11" t="inlineStr">
        <is>
          <t>cancel</t>
        </is>
      </c>
      <c r="U1125" s="12" t="n"/>
      <c r="V1125" s="7" t="inlineStr">
        <is>
          <t>(공통) GET 메서드에 동작</t>
        </is>
      </c>
      <c r="Z1125">
        <f>IF(OR(K648="",K648="TABLE"),"",
_xlfn.TEXTJOIN(", ",TRUE,
IF(E648&lt;&gt;"",E648&amp;K648,""),
IF(F648&lt;&gt;"",F648&amp;K648,""),
IF(G648&lt;&gt;"",G648&amp;K648,"")
))</f>
        <v/>
      </c>
      <c r="AA1125">
        <f>IF(K648="","",IF(K648="TABLE","",K648))</f>
        <v/>
      </c>
      <c r="AB1125">
        <f>IF(ISNUMBER(SEARCH("기존변경필요",SUBSTITUTE(TRIM(V648),CHAR(10)," "))),"",
IFERROR(
  _xlfn.XLOOKUP(AA648,'기존 end point'!B:B,'기존 end point'!B:B,,0),
""))</f>
        <v/>
      </c>
    </row>
    <row r="1126">
      <c r="A1126" t="n">
        <v>648</v>
      </c>
      <c r="B1126" s="1" t="n"/>
      <c r="C1126" s="1" t="inlineStr">
        <is>
          <t>Steel Design</t>
        </is>
      </c>
      <c r="D1126" s="1" t="inlineStr">
        <is>
          <t>Perform</t>
        </is>
      </c>
      <c r="E1126" s="2" t="inlineStr">
        <is>
          <t>Steel Code Check</t>
        </is>
      </c>
      <c r="F1126" s="2" t="n"/>
      <c r="G1126" s="2" t="n"/>
      <c r="H1126" s="2" t="inlineStr">
        <is>
          <t>DESIGN</t>
        </is>
      </c>
      <c r="I1126" s="2" t="inlineStr">
        <is>
          <t>STEEL</t>
        </is>
      </c>
      <c r="J1126" s="2" t="inlineStr">
        <is>
          <t>KDS-41-30-2022</t>
        </is>
      </c>
      <c r="K1126" s="13" t="inlineStr">
        <is>
          <t>CODE-ANAL</t>
        </is>
      </c>
      <c r="L1126" s="2">
        <f>_xlfn.TEXTJOIN("/",TRUE,H649,I649,J649,K649)</f>
        <v/>
      </c>
      <c r="M1126" s="2" t="n"/>
      <c r="N1126" s="2" t="inlineStr">
        <is>
          <t>done</t>
        </is>
      </c>
      <c r="O1126" s="2" t="n"/>
      <c r="P1126" s="2" t="n"/>
      <c r="Q1126" s="2" t="n"/>
      <c r="R1126" s="2" t="n"/>
      <c r="S1126" s="2" t="n"/>
      <c r="T1126" s="2" t="inlineStr">
        <is>
          <t>progress</t>
        </is>
      </c>
      <c r="U1126" s="2" t="inlineStr">
        <is>
          <t>기획</t>
        </is>
      </c>
      <c r="V1126" s="1" t="n">
        <v>1</v>
      </c>
      <c r="X1126" s="14" t="n"/>
      <c r="Z1126">
        <f>IF(OR(K649="",K649="TABLE"),"",
_xlfn.TEXTJOIN(", ",TRUE,
IF(E649&lt;&gt;"",E649&amp;K649,""),
IF(F649&lt;&gt;"",F649&amp;K649,""),
IF(G649&lt;&gt;"",G649&amp;K649,"")
))</f>
        <v/>
      </c>
      <c r="AA1126">
        <f>IF(K649="","",IF(K649="TABLE","",K649))</f>
        <v/>
      </c>
      <c r="AB1126">
        <f>IF(ISNUMBER(SEARCH("기존변경필요",SUBSTITUTE(TRIM(V649),CHAR(10)," "))),"",
IFERROR(
  _xlfn.XLOOKUP(AA649,'기존 end point'!B:B,'기존 end point'!B:B,,0),
""))</f>
        <v/>
      </c>
    </row>
    <row r="1127">
      <c r="A1127" t="n">
        <v>649</v>
      </c>
      <c r="B1127" s="1" t="n"/>
      <c r="C1127" s="1" t="inlineStr">
        <is>
          <t>Steel Design</t>
        </is>
      </c>
      <c r="D1127" s="1" t="inlineStr">
        <is>
          <t>Perform</t>
        </is>
      </c>
      <c r="E1127" s="2" t="inlineStr">
        <is>
          <t>Steel Code Check</t>
        </is>
      </c>
      <c r="F1127" s="2" t="n"/>
      <c r="G1127" s="2" t="n"/>
      <c r="H1127" s="2" t="inlineStr">
        <is>
          <t>DESIGN</t>
        </is>
      </c>
      <c r="I1127" s="2" t="inlineStr">
        <is>
          <t>STEEL</t>
        </is>
      </c>
      <c r="J1127" s="2" t="inlineStr">
        <is>
          <t>KDS-41-30-2022</t>
        </is>
      </c>
      <c r="K1127" s="13" t="inlineStr">
        <is>
          <t>CODE-TABLE</t>
        </is>
      </c>
      <c r="L1127" s="2">
        <f>_xlfn.TEXTJOIN("/",TRUE,H650,I650,J650,K650)</f>
        <v/>
      </c>
      <c r="M1127" s="2" t="n"/>
      <c r="N1127" s="2" t="inlineStr">
        <is>
          <t>done</t>
        </is>
      </c>
      <c r="O1127" s="2" t="n"/>
      <c r="P1127" s="2" t="n"/>
      <c r="Q1127" s="2" t="n"/>
      <c r="R1127" s="2" t="n"/>
      <c r="S1127" s="2" t="n"/>
      <c r="T1127" s="2" t="inlineStr">
        <is>
          <t>progress</t>
        </is>
      </c>
      <c r="U1127" s="2" t="inlineStr">
        <is>
          <t>기획</t>
        </is>
      </c>
      <c r="V1127" s="1" t="n">
        <v>1</v>
      </c>
    </row>
    <row r="1128">
      <c r="A1128" t="n">
        <v>650</v>
      </c>
      <c r="B1128" s="1" t="n"/>
      <c r="C1128" s="1" t="inlineStr">
        <is>
          <t>Steel Design</t>
        </is>
      </c>
      <c r="D1128" s="1" t="inlineStr">
        <is>
          <t>Perform</t>
        </is>
      </c>
      <c r="E1128" s="2" t="inlineStr">
        <is>
          <t>Steel Code Check</t>
        </is>
      </c>
      <c r="F1128" s="2" t="n"/>
      <c r="G1128" s="2" t="n"/>
      <c r="H1128" s="2" t="inlineStr">
        <is>
          <t>DESIGN</t>
        </is>
      </c>
      <c r="I1128" s="2" t="inlineStr">
        <is>
          <t>STEEL</t>
        </is>
      </c>
      <c r="J1128" s="2" t="inlineStr">
        <is>
          <t>KDS-41-30-2022</t>
        </is>
      </c>
      <c r="K1128" s="13" t="inlineStr">
        <is>
          <t>CODE-REPORT</t>
        </is>
      </c>
      <c r="L1128" s="2">
        <f>_xlfn.TEXTJOIN("/",TRUE,H651,I651,J651,K651)</f>
        <v/>
      </c>
      <c r="M1128" s="2" t="n"/>
      <c r="N1128" s="2" t="inlineStr">
        <is>
          <t>done</t>
        </is>
      </c>
      <c r="O1128" s="2" t="n"/>
      <c r="P1128" s="2" t="n"/>
      <c r="Q1128" s="2" t="n"/>
      <c r="R1128" s="2" t="n"/>
      <c r="S1128" s="2" t="n"/>
      <c r="T1128" s="2" t="inlineStr">
        <is>
          <t>progress</t>
        </is>
      </c>
      <c r="U1128" s="2" t="inlineStr">
        <is>
          <t>기획</t>
        </is>
      </c>
      <c r="V1128" s="1" t="n">
        <v>1</v>
      </c>
    </row>
    <row r="1129">
      <c r="A1129" t="n">
        <v>651</v>
      </c>
      <c r="B1129" s="1" t="n"/>
      <c r="C1129" s="1" t="inlineStr">
        <is>
          <t>Steel Design</t>
        </is>
      </c>
      <c r="D1129" s="1" t="inlineStr">
        <is>
          <t>Perform</t>
        </is>
      </c>
      <c r="E1129" s="2" t="inlineStr">
        <is>
          <t>Optimal Design</t>
        </is>
      </c>
      <c r="F1129" s="2" t="inlineStr">
        <is>
          <t>Steel Optimal Design</t>
        </is>
      </c>
      <c r="G1129" s="2" t="n"/>
      <c r="H1129" s="2" t="inlineStr">
        <is>
          <t>DESIGN</t>
        </is>
      </c>
      <c r="I1129" s="2" t="inlineStr">
        <is>
          <t>STEEL</t>
        </is>
      </c>
      <c r="J1129" s="2" t="inlineStr">
        <is>
          <t>KDS-41-30-2022</t>
        </is>
      </c>
      <c r="K1129" s="13" t="inlineStr">
        <is>
          <t>OCHECK</t>
        </is>
      </c>
      <c r="L1129" s="2">
        <f>_xlfn.TEXTJOIN("/",TRUE,H652,I652,J652,K652)</f>
        <v/>
      </c>
      <c r="M1129" s="2" t="n"/>
      <c r="N1129" s="2" t="inlineStr">
        <is>
          <t>done</t>
        </is>
      </c>
      <c r="O1129" s="2" t="n"/>
      <c r="P1129" s="2" t="n"/>
      <c r="Q1129" s="2" t="n"/>
      <c r="R1129" s="2" t="n"/>
      <c r="S1129" s="2" t="n"/>
      <c r="T1129" s="2" t="inlineStr">
        <is>
          <t>progress</t>
        </is>
      </c>
      <c r="U1129" s="2" t="inlineStr">
        <is>
          <t>기획</t>
        </is>
      </c>
      <c r="V1129" s="1" t="n">
        <v>3</v>
      </c>
      <c r="Z1129">
        <f>IF(OR(K652="",K652="TABLE"),"",
_xlfn.TEXTJOIN(", ",TRUE,
IF(E652&lt;&gt;"",E652&amp;K652,""),
IF(F652&lt;&gt;"",F652&amp;K652,""),
IF(G652&lt;&gt;"",G652&amp;K652,"")
))</f>
        <v/>
      </c>
      <c r="AA1129">
        <f>IF(K652="","",IF(K652="TABLE","",K652))</f>
        <v/>
      </c>
      <c r="AB1129">
        <f>IF(ISNUMBER(SEARCH("기존변경필요",SUBSTITUTE(TRIM(V652),CHAR(10)," "))),"",
IFERROR(
  _xlfn.XLOOKUP(AA652,'기존 end point'!B:B,'기존 end point'!B:B,,0),
""))</f>
        <v/>
      </c>
    </row>
    <row r="1130">
      <c r="A1130" t="n">
        <v>652</v>
      </c>
      <c r="B1130" s="1" t="n"/>
      <c r="C1130" s="1" t="inlineStr">
        <is>
          <t>Steel Design</t>
        </is>
      </c>
      <c r="D1130" s="1" t="inlineStr">
        <is>
          <t>Perform</t>
        </is>
      </c>
      <c r="E1130" s="2" t="inlineStr">
        <is>
          <t>Optimal Design</t>
        </is>
      </c>
      <c r="F1130" s="2" t="inlineStr">
        <is>
          <t>Displacement Optimal Design</t>
        </is>
      </c>
      <c r="G1130" s="2" t="n"/>
      <c r="H1130" s="2" t="inlineStr">
        <is>
          <t>DESIGN</t>
        </is>
      </c>
      <c r="I1130" s="2" t="inlineStr">
        <is>
          <t>STEEL</t>
        </is>
      </c>
      <c r="J1130" s="2" t="inlineStr">
        <is>
          <t>KDS-41-30-2022</t>
        </is>
      </c>
      <c r="K1130" s="2">
        <f>_xlfn.XLOOKUP(F653,'PARAMETER 공통'!$B$4:$B$53,'PARAMETER 공통'!$D$4:$D$53,,0,1)</f>
        <v/>
      </c>
      <c r="L1130" s="2">
        <f>_xlfn.TEXTJOIN("/",TRUE,H653,I653,J653,K653)</f>
        <v/>
      </c>
      <c r="M1130" s="2" t="n"/>
      <c r="N1130" s="2" t="inlineStr">
        <is>
          <t>done</t>
        </is>
      </c>
      <c r="O1130" s="2" t="n"/>
      <c r="P1130" s="2" t="n"/>
      <c r="Q1130" s="2" t="n"/>
      <c r="R1130" s="2" t="n"/>
      <c r="S1130" s="2" t="n"/>
      <c r="T1130" s="2" t="inlineStr">
        <is>
          <t>progress</t>
        </is>
      </c>
      <c r="U1130" s="2" t="inlineStr">
        <is>
          <t>기획</t>
        </is>
      </c>
      <c r="V1130" s="1" t="n">
        <v>3</v>
      </c>
      <c r="Z1130">
        <f>IF(OR(K653="",K653="TABLE"),"",
_xlfn.TEXTJOIN(", ",TRUE,
IF(E653&lt;&gt;"",E653&amp;K653,""),
IF(F653&lt;&gt;"",F653&amp;K653,""),
IF(G653&lt;&gt;"",G653&amp;K653,"")
))</f>
        <v/>
      </c>
      <c r="AA1130">
        <f>IF(K653="","",IF(K653="TABLE","",K653))</f>
        <v/>
      </c>
      <c r="AB1130">
        <f>IF(ISNUMBER(SEARCH("기존변경필요",SUBSTITUTE(TRIM(V653),CHAR(10)," "))),"",
IFERROR(
  _xlfn.XLOOKUP(AA653,'기존 end point'!B:B,'기존 end point'!B:B,,0),
""))</f>
        <v/>
      </c>
    </row>
    <row r="1131">
      <c r="A1131" t="n">
        <v>653</v>
      </c>
      <c r="B1131" s="1" t="n"/>
      <c r="C1131" s="1" t="inlineStr">
        <is>
          <t>Steel Design</t>
        </is>
      </c>
      <c r="D1131" s="1" t="inlineStr">
        <is>
          <t>Result</t>
        </is>
      </c>
      <c r="E1131" s="2" t="inlineStr">
        <is>
          <t>Steel Design Result</t>
        </is>
      </c>
      <c r="F1131" s="2" t="n"/>
      <c r="G1131" s="2" t="n"/>
      <c r="H1131" s="2" t="inlineStr">
        <is>
          <t>DESIGN</t>
        </is>
      </c>
      <c r="I1131" s="2" t="inlineStr">
        <is>
          <t>STEEL</t>
        </is>
      </c>
      <c r="J1131" s="2" t="inlineStr">
        <is>
          <t>KDS-41-30-2022</t>
        </is>
      </c>
      <c r="K1131" s="13" t="inlineStr">
        <is>
          <t>DREULT</t>
        </is>
      </c>
      <c r="L1131" s="2">
        <f>_xlfn.TEXTJOIN("/",TRUE,H654,I654,J654,K654)</f>
        <v/>
      </c>
      <c r="M1131" s="2" t="n"/>
      <c r="N1131" s="2" t="inlineStr">
        <is>
          <t>done</t>
        </is>
      </c>
      <c r="O1131" s="2" t="n"/>
      <c r="P1131" s="2" t="n"/>
      <c r="Q1131" s="2" t="n"/>
      <c r="R1131" s="2" t="n"/>
      <c r="S1131" s="2" t="n"/>
      <c r="T1131" s="2" t="inlineStr">
        <is>
          <t>progress</t>
        </is>
      </c>
      <c r="U1131" s="2" t="inlineStr">
        <is>
          <t>기획</t>
        </is>
      </c>
      <c r="V1131" s="1" t="n">
        <v>1</v>
      </c>
      <c r="Z1131">
        <f>IF(OR(K654="",K654="TABLE"),"",
_xlfn.TEXTJOIN(", ",TRUE,
IF(E654&lt;&gt;"",E654&amp;K654,""),
IF(F654&lt;&gt;"",F654&amp;K654,""),
IF(G654&lt;&gt;"",G654&amp;K654,"")
))</f>
        <v/>
      </c>
      <c r="AA1131">
        <f>IF(K654="","",IF(K654="TABLE","",K654))</f>
        <v/>
      </c>
      <c r="AB1131">
        <f>IF(ISNUMBER(SEARCH("기존변경필요",SUBSTITUTE(TRIM(V654),CHAR(10)," "))),"",
IFERROR(
  _xlfn.XLOOKUP(AA654,'기존 end point'!B:B,'기존 end point'!B:B,,0),
""))</f>
        <v/>
      </c>
    </row>
    <row r="1132">
      <c r="A1132" t="n">
        <v>654</v>
      </c>
      <c r="B1132" s="1" t="n"/>
      <c r="C1132" s="1" t="inlineStr">
        <is>
          <t>Steel Design</t>
        </is>
      </c>
      <c r="D1132" s="1" t="inlineStr">
        <is>
          <t>Result</t>
        </is>
      </c>
      <c r="E1132" s="1" t="inlineStr">
        <is>
          <t>Steel Member Design Forces</t>
        </is>
      </c>
      <c r="F1132" s="1" t="n"/>
      <c r="G1132" s="1" t="n"/>
      <c r="H1132" s="1" t="inlineStr">
        <is>
          <t>DESIGN</t>
        </is>
      </c>
      <c r="I1132" s="1" t="inlineStr">
        <is>
          <t>STEEL</t>
        </is>
      </c>
      <c r="J1132" s="1" t="inlineStr">
        <is>
          <t>KDS-41-30-2022</t>
        </is>
      </c>
      <c r="K1132" s="13" t="inlineStr">
        <is>
          <t>TABLE</t>
        </is>
      </c>
      <c r="L1132" s="1">
        <f>_xlfn.TEXTJOIN("/",TRUE,H655,I655,J655,K655)</f>
        <v/>
      </c>
      <c r="M1132" s="10" t="inlineStr">
        <is>
          <t>BEAMDESIGNFORCES</t>
        </is>
      </c>
      <c r="N1132" s="2" t="inlineStr">
        <is>
          <t>done</t>
        </is>
      </c>
      <c r="O1132" s="1" t="n"/>
      <c r="P1132" s="1" t="n"/>
      <c r="Q1132" s="1" t="n"/>
      <c r="R1132" s="1" t="n"/>
      <c r="S1132" s="1" t="n"/>
      <c r="T1132" s="1" t="inlineStr">
        <is>
          <t>progress</t>
        </is>
      </c>
      <c r="U1132" s="2" t="inlineStr">
        <is>
          <t>기획</t>
        </is>
      </c>
      <c r="V1132" s="1" t="n">
        <v>1</v>
      </c>
      <c r="Z1132">
        <f>IF(OR(K655="",K655="TABLE"),"",
_xlfn.TEXTJOIN(", ",TRUE,
IF(E655&lt;&gt;"",E655&amp;K655,""),
IF(F655&lt;&gt;"",F655&amp;K655,""),
IF(G655&lt;&gt;"",G655&amp;K655,"")
))</f>
        <v/>
      </c>
      <c r="AA1132">
        <f>IF(K655="","",IF(K655="TABLE","",K655))</f>
        <v/>
      </c>
      <c r="AB1132">
        <f>IF(ISNUMBER(SEARCH("기존변경필요",SUBSTITUTE(TRIM(V655),CHAR(10)," "))),"",
IFERROR(
  _xlfn.XLOOKUP(AA655,'기존 end point'!B:B,'기존 end point'!B:B,,0),
""))</f>
        <v/>
      </c>
    </row>
    <row r="1133">
      <c r="A1133" t="n">
        <v>655</v>
      </c>
      <c r="B1133" s="1" t="n"/>
      <c r="C1133" s="1" t="inlineStr">
        <is>
          <t>Steel Design</t>
        </is>
      </c>
      <c r="D1133" s="1" t="inlineStr">
        <is>
          <t>Result</t>
        </is>
      </c>
      <c r="E1133" s="7" t="inlineStr">
        <is>
          <t>Strong Column-Weak Beam Ratio</t>
        </is>
      </c>
      <c r="F1133" s="7" t="n"/>
      <c r="G1133" s="7" t="n"/>
      <c r="H1133" s="7" t="inlineStr">
        <is>
          <t>DESIGN</t>
        </is>
      </c>
      <c r="I1133" s="7" t="inlineStr">
        <is>
          <t>STEEL</t>
        </is>
      </c>
      <c r="J1133" s="7" t="inlineStr">
        <is>
          <t>KDS-41-30-2022</t>
        </is>
      </c>
      <c r="K1133" s="8" t="inlineStr">
        <is>
          <t>SCWB</t>
        </is>
      </c>
      <c r="L1133" s="7">
        <f>_xlfn.TEXTJOIN("/",TRUE,H656,I656,J656,K656)</f>
        <v/>
      </c>
      <c r="M1133" s="7" t="n"/>
      <c r="N1133" s="7" t="n"/>
      <c r="O1133" s="7" t="n"/>
      <c r="P1133" s="7" t="n"/>
      <c r="Q1133" s="7" t="n"/>
      <c r="R1133" s="7" t="n"/>
      <c r="S1133" s="7" t="n"/>
      <c r="T1133" s="15" t="inlineStr">
        <is>
          <t>cancel</t>
        </is>
      </c>
      <c r="U1133" s="7" t="n"/>
      <c r="V1133" s="1" t="n"/>
      <c r="Z1133">
        <f>IF(OR(K656="",K656="TABLE"),"",
_xlfn.TEXTJOIN(", ",TRUE,
IF(E656&lt;&gt;"",E656&amp;K656,""),
IF(F656&lt;&gt;"",F656&amp;K656,""),
IF(G656&lt;&gt;"",G656&amp;K656,"")
))</f>
        <v/>
      </c>
      <c r="AA1133">
        <f>IF(K656="","",IF(K656="TABLE","",K656))</f>
        <v/>
      </c>
      <c r="AB1133">
        <f>IF(ISNUMBER(SEARCH("기존변경필요",SUBSTITUTE(TRIM(V656),CHAR(10)," "))),"",
IFERROR(
  _xlfn.XLOOKUP(AA656,'기존 end point'!B:B,'기존 end point'!B:B,,0),
""))</f>
        <v/>
      </c>
    </row>
    <row r="1134">
      <c r="A1134" t="n">
        <v>656</v>
      </c>
      <c r="B1134" s="1" t="n"/>
      <c r="C1134" s="1" t="inlineStr">
        <is>
          <t>Steel Design</t>
        </is>
      </c>
      <c r="D1134" s="1" t="inlineStr">
        <is>
          <t>Design Section</t>
        </is>
      </c>
      <c r="E1134" s="1" t="inlineStr">
        <is>
          <t>Section for Design</t>
        </is>
      </c>
      <c r="F1134" s="1" t="n"/>
      <c r="G1134" s="1" t="n"/>
      <c r="H1134" s="1" t="inlineStr">
        <is>
          <t>DESIGN</t>
        </is>
      </c>
      <c r="I1134" s="1" t="n"/>
      <c r="J1134" s="1" t="n"/>
      <c r="K1134" s="10" t="inlineStr">
        <is>
          <t>DSECT</t>
        </is>
      </c>
      <c r="L1134" s="1">
        <f>_xlfn.TEXTJOIN("/",TRUE,H657,I657,J657,K657)</f>
        <v/>
      </c>
      <c r="M1134" s="1" t="n"/>
      <c r="N1134" s="1" t="n"/>
      <c r="O1134" s="1" t="n"/>
      <c r="P1134" s="1" t="n"/>
      <c r="Q1134" s="1" t="n"/>
      <c r="R1134" s="1" t="n"/>
      <c r="S1134" s="1" t="n"/>
      <c r="T1134" s="1" t="inlineStr">
        <is>
          <t>progress</t>
        </is>
      </c>
      <c r="U1134" s="1" t="inlineStr">
        <is>
          <t>개발</t>
        </is>
      </c>
      <c r="V1134" s="1" t="n">
        <v>3</v>
      </c>
      <c r="Z1134">
        <f>IF(OR(K657="",K657="TABLE"),"",
_xlfn.TEXTJOIN(", ",TRUE,
IF(E657&lt;&gt;"",E657&amp;K657,""),
IF(F657&lt;&gt;"",F657&amp;K657,""),
IF(G657&lt;&gt;"",G657&amp;K657,"")
))</f>
        <v/>
      </c>
      <c r="AA1134">
        <f>IF(K657="","",IF(K657="TABLE","",K657))</f>
        <v/>
      </c>
      <c r="AB1134">
        <f>IF(ISNUMBER(SEARCH("기존변경필요",SUBSTITUTE(TRIM(V657),CHAR(10)," "))),"",
IFERROR(
  _xlfn.XLOOKUP(AA657,'기존 end point'!B:B,'기존 end point'!B:B,,0),
""))</f>
        <v/>
      </c>
    </row>
    <row r="1135">
      <c r="A1135" s="6" t="n">
        <v>657</v>
      </c>
      <c r="B1135" s="7" t="n"/>
      <c r="C1135" s="7" t="inlineStr">
        <is>
          <t>Steel Design</t>
        </is>
      </c>
      <c r="D1135" s="7" t="inlineStr">
        <is>
          <t>Batch Processing</t>
        </is>
      </c>
      <c r="E1135" s="7" t="inlineStr">
        <is>
          <t>Perform Batch Design</t>
        </is>
      </c>
      <c r="F1135" s="7" t="n"/>
      <c r="G1135" s="7" t="n"/>
      <c r="H1135" s="7" t="n"/>
      <c r="I1135" s="7" t="n"/>
      <c r="J1135" s="7" t="n"/>
      <c r="K1135" s="8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16" t="inlineStr">
        <is>
          <t>cancel</t>
        </is>
      </c>
      <c r="U1135" s="1" t="n"/>
      <c r="V1135" s="1" t="n">
        <v>3</v>
      </c>
      <c r="Z1135">
        <f>IF(OR(K658="",K658="TABLE"),"",
_xlfn.TEXTJOIN(", ",TRUE,
IF(E658&lt;&gt;"",E658&amp;K658,""),
IF(F658&lt;&gt;"",F658&amp;K658,""),
IF(G658&lt;&gt;"",G658&amp;K658,"")
))</f>
        <v/>
      </c>
      <c r="AA1135">
        <f>IF(K658="","",IF(K658="TABLE","",K658))</f>
        <v/>
      </c>
      <c r="AB1135">
        <f>IF(ISNUMBER(SEARCH("기존변경필요",SUBSTITUTE(TRIM(V658),CHAR(10)," "))),"",
IFERROR(
  _xlfn.XLOOKUP(AA658,'기존 end point'!B:B,'기존 end point'!B:B,,0),
""))</f>
        <v/>
      </c>
    </row>
    <row r="1136">
      <c r="A1136" t="n">
        <v>658</v>
      </c>
      <c r="T1136" t="inlineStr">
        <is>
          <t>none</t>
        </is>
      </c>
    </row>
    <row r="1137">
      <c r="A1137" t="n">
        <v>659</v>
      </c>
      <c r="C1137" t="inlineStr">
        <is>
          <t>RC Design</t>
        </is>
      </c>
      <c r="D1137" t="inlineStr">
        <is>
          <t>Design Code</t>
        </is>
      </c>
      <c r="E1137" t="inlineStr">
        <is>
          <t>Design Code</t>
        </is>
      </c>
      <c r="H1137" t="inlineStr">
        <is>
          <t>DESIGN</t>
        </is>
      </c>
      <c r="I1137" t="inlineStr">
        <is>
          <t>RC</t>
        </is>
      </c>
      <c r="K1137" s="17" t="inlineStr">
        <is>
          <t>DRC</t>
        </is>
      </c>
      <c r="L1137">
        <f>_xlfn.TEXTJOIN("/",TRUE,H660,I660,J660,K660)</f>
        <v/>
      </c>
      <c r="N1137" t="inlineStr">
        <is>
          <t>done</t>
        </is>
      </c>
      <c r="O1137" t="inlineStr">
        <is>
          <t>done</t>
        </is>
      </c>
      <c r="P1137" t="inlineStr">
        <is>
          <t>done</t>
        </is>
      </c>
      <c r="Q1137" t="inlineStr">
        <is>
          <t>done</t>
        </is>
      </c>
      <c r="R1137" t="inlineStr">
        <is>
          <t>done</t>
        </is>
      </c>
      <c r="S1137" t="inlineStr">
        <is>
          <t>warning</t>
        </is>
      </c>
      <c r="T1137" s="18" t="inlineStr">
        <is>
          <t>progress</t>
        </is>
      </c>
      <c r="U1137" t="inlineStr">
        <is>
          <t>개발</t>
        </is>
      </c>
      <c r="V1137" s="19" t="inlineStr">
        <is>
          <t>기존변경필요 제품 Preference와 연동 필요
"KDS 41 20 : 2022" 추가필요</t>
        </is>
      </c>
      <c r="W1137" s="5" t="inlineStr">
        <is>
          <t>https://support.midasuser.com/hc/en-us/articles/35993633394969-RC-Design-Code</t>
        </is>
      </c>
      <c r="Z1137">
        <f>IF(OR(K660="",K660="TABLE"),"",
_xlfn.TEXTJOIN(", ",TRUE,
IF(E660&lt;&gt;"",E660&amp;K660,""),
IF(F660&lt;&gt;"",F660&amp;K660,""),
IF(G660&lt;&gt;"",G660&amp;K660,"")
))</f>
        <v/>
      </c>
      <c r="AA1137">
        <f>IF(K660="","",IF(K660="TABLE","",K660))</f>
        <v/>
      </c>
      <c r="AB1137">
        <f>IF(ISNUMBER(SEARCH("기존변경필요",SUBSTITUTE(TRIM(V660),CHAR(10)," "))),"",
IFERROR(
  _xlfn.XLOOKUP(AA660,'기존 end point'!B:B,'기존 end point'!B:B,,0),
""))</f>
        <v/>
      </c>
    </row>
    <row r="1138">
      <c r="A1138" t="n">
        <v>660</v>
      </c>
      <c r="C1138" t="inlineStr">
        <is>
          <t>RC Design</t>
        </is>
      </c>
      <c r="D1138" t="inlineStr">
        <is>
          <t>Design Input Data</t>
        </is>
      </c>
      <c r="E1138" s="18" t="inlineStr">
        <is>
          <t>Design Code Option</t>
        </is>
      </c>
      <c r="F1138" s="18" t="n"/>
      <c r="G1138" s="18" t="n"/>
      <c r="H1138" s="18" t="inlineStr">
        <is>
          <t>DESIGN</t>
        </is>
      </c>
      <c r="I1138" s="18" t="inlineStr">
        <is>
          <t>RC</t>
        </is>
      </c>
      <c r="J1138" s="18" t="inlineStr">
        <is>
          <t>KDS-41-20-2022</t>
        </is>
      </c>
      <c r="K1138" s="20" t="inlineStr">
        <is>
          <t>DCO</t>
        </is>
      </c>
      <c r="L1138" s="18">
        <f>_xlfn.TEXTJOIN("/",TRUE,H661,I661,J661,K661)</f>
        <v/>
      </c>
      <c r="M1138" s="18" t="n"/>
      <c r="N1138" s="2" t="inlineStr">
        <is>
          <t>done</t>
        </is>
      </c>
      <c r="O1138" s="18" t="n"/>
      <c r="P1138" s="18" t="n"/>
      <c r="Q1138" s="18" t="n"/>
      <c r="R1138" s="18" t="n"/>
      <c r="S1138" s="18" t="n"/>
      <c r="T1138" s="18" t="inlineStr">
        <is>
          <t>progress</t>
        </is>
      </c>
      <c r="U1138" s="18" t="inlineStr">
        <is>
          <t>기획</t>
        </is>
      </c>
      <c r="V1138" t="n">
        <v>1</v>
      </c>
      <c r="Z1138">
        <f>IF(OR(K661="",K661="TABLE"),"",
_xlfn.TEXTJOIN(", ",TRUE,
IF(E661&lt;&gt;"",E661&amp;K661,""),
IF(F661&lt;&gt;"",F661&amp;K661,""),
IF(G661&lt;&gt;"",G661&amp;K661,"")
))</f>
        <v/>
      </c>
      <c r="AA1138">
        <f>IF(K661="","",IF(K661="TABLE","",K661))</f>
        <v/>
      </c>
      <c r="AB1138">
        <f>IF(ISNUMBER(SEARCH("기존변경필요",SUBSTITUTE(TRIM(V661),CHAR(10)," "))),"",
IFERROR(
  _xlfn.XLOOKUP(AA661,'기존 end point'!B:B,'기존 end point'!B:B,,0),
""))</f>
        <v/>
      </c>
    </row>
    <row r="1139">
      <c r="A1139" t="n">
        <v>661</v>
      </c>
      <c r="C1139" t="inlineStr">
        <is>
          <t>RC Design</t>
        </is>
      </c>
      <c r="D1139" t="inlineStr">
        <is>
          <t>Design Input Data</t>
        </is>
      </c>
      <c r="E1139" t="inlineStr">
        <is>
          <t>Design Parameters</t>
        </is>
      </c>
      <c r="F1139" t="inlineStr">
        <is>
          <t>Definition of Frame</t>
        </is>
      </c>
      <c r="H1139" t="inlineStr">
        <is>
          <t>DESIGN</t>
        </is>
      </c>
      <c r="I1139" t="inlineStr">
        <is>
          <t>RC</t>
        </is>
      </c>
      <c r="J1139" t="inlineStr">
        <is>
          <t>KDS-41-20-2022</t>
        </is>
      </c>
      <c r="K1139">
        <f>_xlfn.XLOOKUP(F662,'PARAMETER 공통'!$B$4:$B$53,'PARAMETER 공통'!$D$4:$D$53,,0,1)</f>
        <v/>
      </c>
      <c r="L1139">
        <f>_xlfn.TEXTJOIN("/",TRUE,H662,I662,J662,K662)</f>
        <v/>
      </c>
      <c r="N1139" t="inlineStr">
        <is>
          <t>done</t>
        </is>
      </c>
      <c r="O1139" t="inlineStr">
        <is>
          <t>done</t>
        </is>
      </c>
      <c r="P1139" t="inlineStr">
        <is>
          <t>done</t>
        </is>
      </c>
      <c r="Q1139" t="inlineStr">
        <is>
          <t>done</t>
        </is>
      </c>
      <c r="R1139" t="inlineStr">
        <is>
          <t>done</t>
        </is>
      </c>
      <c r="S1139" t="inlineStr">
        <is>
          <t>warning</t>
        </is>
      </c>
      <c r="T1139" t="inlineStr">
        <is>
          <t>Done</t>
        </is>
      </c>
      <c r="V1139" t="inlineStr">
        <is>
          <t>기존변경필요</t>
        </is>
      </c>
      <c r="Z1139">
        <f>IF(OR(K662="",K662="TABLE"),"",
_xlfn.TEXTJOIN(", ",TRUE,
IF(E662&lt;&gt;"",E662&amp;K662,""),
IF(F662&lt;&gt;"",F662&amp;K662,""),
IF(G662&lt;&gt;"",G662&amp;K662,"")
))</f>
        <v/>
      </c>
      <c r="AA1139">
        <f>IF(K662="","",IF(K662="TABLE","",K662))</f>
        <v/>
      </c>
      <c r="AB1139">
        <f>IF(ISNUMBER(SEARCH("기존변경필요",SUBSTITUTE(TRIM(V662),CHAR(10)," "))),"",
IFERROR(
  _xlfn.XLOOKUP(AA662,'기존 end point'!B:B,'기존 end point'!B:B,,0),
""))</f>
        <v/>
      </c>
    </row>
    <row r="1140">
      <c r="A1140" t="n">
        <v>662</v>
      </c>
      <c r="C1140" t="inlineStr">
        <is>
          <t>RC Design</t>
        </is>
      </c>
      <c r="D1140" t="inlineStr">
        <is>
          <t>Design Input Data</t>
        </is>
      </c>
      <c r="E1140" s="18" t="inlineStr">
        <is>
          <t>Design Parameters</t>
        </is>
      </c>
      <c r="F1140" s="18" t="inlineStr">
        <is>
          <t>Live Load Reduction Factor</t>
        </is>
      </c>
      <c r="G1140" s="18" t="n"/>
      <c r="H1140" s="18" t="inlineStr">
        <is>
          <t>DESIGN</t>
        </is>
      </c>
      <c r="I1140" s="18" t="inlineStr">
        <is>
          <t>RC</t>
        </is>
      </c>
      <c r="J1140" s="18" t="inlineStr">
        <is>
          <t>KDS-41-20-2022</t>
        </is>
      </c>
      <c r="K1140" s="18">
        <f>_xlfn.XLOOKUP(F663,'PARAMETER 공통'!$B$4:$B$53,'PARAMETER 공통'!$D$4:$D$53,,0,1)</f>
        <v/>
      </c>
      <c r="L1140" s="18">
        <f>_xlfn.TEXTJOIN("/",TRUE,H663,I663,J663,K663)</f>
        <v/>
      </c>
      <c r="M1140" s="18" t="n"/>
      <c r="N1140" s="2" t="inlineStr">
        <is>
          <t>done</t>
        </is>
      </c>
      <c r="O1140" s="18" t="n"/>
      <c r="P1140" s="18" t="n"/>
      <c r="Q1140" s="18" t="n"/>
      <c r="R1140" s="18" t="n"/>
      <c r="S1140" s="18" t="n"/>
      <c r="T1140" s="18" t="inlineStr">
        <is>
          <t>progress</t>
        </is>
      </c>
      <c r="U1140" s="18" t="inlineStr">
        <is>
          <t>기획</t>
        </is>
      </c>
      <c r="V1140" t="n">
        <v>1</v>
      </c>
      <c r="Z1140">
        <f>IF(OR(K663="",K663="TABLE"),"",
_xlfn.TEXTJOIN(", ",TRUE,
IF(E663&lt;&gt;"",E663&amp;K663,""),
IF(F663&lt;&gt;"",F663&amp;K663,""),
IF(G663&lt;&gt;"",G663&amp;K663,"")
))</f>
        <v/>
      </c>
      <c r="AA1140">
        <f>IF(K663="","",IF(K663="TABLE","",K663))</f>
        <v/>
      </c>
      <c r="AB1140">
        <f>IF(ISNUMBER(SEARCH("기존변경필요",SUBSTITUTE(TRIM(V663),CHAR(10)," "))),"",
IFERROR(
  _xlfn.XLOOKUP(AA663,'기존 end point'!B:B,'기존 end point'!B:B,,0),
""))</f>
        <v/>
      </c>
    </row>
    <row r="1141">
      <c r="A1141" s="6" t="n">
        <v>663</v>
      </c>
      <c r="B1141" s="6" t="n"/>
      <c r="C1141" s="6" t="inlineStr">
        <is>
          <t>RC Design</t>
        </is>
      </c>
      <c r="D1141" s="6" t="inlineStr">
        <is>
          <t>Design Input Data</t>
        </is>
      </c>
      <c r="E1141" s="6" t="inlineStr">
        <is>
          <t>Design Parameters</t>
        </is>
      </c>
      <c r="F1141" s="6" t="inlineStr">
        <is>
          <t>Short/Long term Load Case</t>
        </is>
      </c>
      <c r="G1141" s="6" t="n"/>
      <c r="H1141" s="6" t="inlineStr">
        <is>
          <t>DESIGN</t>
        </is>
      </c>
      <c r="I1141" s="6" t="inlineStr">
        <is>
          <t>RC</t>
        </is>
      </c>
      <c r="J1141" s="6" t="inlineStr">
        <is>
          <t>KDS-41-20-2022</t>
        </is>
      </c>
      <c r="K1141" s="6">
        <f>_xlfn.XLOOKUP(F664,'PARAMETER 공통'!$B$4:$B$53,'PARAMETER 공통'!$D$4:$D$53,,0,1)</f>
        <v/>
      </c>
      <c r="L1141" s="6">
        <f>_xlfn.TEXTJOIN("/",TRUE,H664,I664,J664,K664)</f>
        <v/>
      </c>
      <c r="M1141" s="6" t="n"/>
      <c r="N1141" s="6" t="n"/>
      <c r="O1141" s="6" t="n"/>
      <c r="P1141" s="6" t="n"/>
      <c r="Q1141" s="6" t="n"/>
      <c r="R1141" s="6" t="n"/>
      <c r="S1141" s="6" t="n"/>
      <c r="T1141" s="6" t="inlineStr">
        <is>
          <t>cancel</t>
        </is>
      </c>
      <c r="V1141" t="inlineStr">
        <is>
          <t>AIJ-WSD99, Eurocode 2, 3, IS:800-1984</t>
        </is>
      </c>
      <c r="Z1141">
        <f>IF(OR(K664="",K664="TABLE"),"",
_xlfn.TEXTJOIN(", ",TRUE,
IF(E664&lt;&gt;"",E664&amp;K664,""),
IF(F664&lt;&gt;"",F664&amp;K664,""),
IF(G664&lt;&gt;"",G664&amp;K664,"")
))</f>
        <v/>
      </c>
      <c r="AA1141">
        <f>IF(K664="","",IF(K664="TABLE","",K664))</f>
        <v/>
      </c>
      <c r="AB1141">
        <f>IF(ISNUMBER(SEARCH("기존변경필요",SUBSTITUTE(TRIM(V664),CHAR(10)," "))),"",
IFERROR(
  _xlfn.XLOOKUP(AA664,'기존 end point'!B:B,'기존 end point'!B:B,,0),
""))</f>
        <v/>
      </c>
    </row>
    <row r="1142">
      <c r="A1142" s="6" t="n">
        <v>664</v>
      </c>
      <c r="B1142" s="6" t="n"/>
      <c r="C1142" s="6" t="inlineStr">
        <is>
          <t>RC Design</t>
        </is>
      </c>
      <c r="D1142" s="6" t="inlineStr">
        <is>
          <t>Design Input Data</t>
        </is>
      </c>
      <c r="E1142" s="6" t="inlineStr">
        <is>
          <t>Design Parameters</t>
        </is>
      </c>
      <c r="F1142" s="6" t="inlineStr">
        <is>
          <t>Serviceability Load Combination Type</t>
        </is>
      </c>
      <c r="G1142" s="6" t="n"/>
      <c r="H1142" s="6" t="inlineStr">
        <is>
          <t>DESIGN</t>
        </is>
      </c>
      <c r="I1142" s="6" t="inlineStr">
        <is>
          <t>RC</t>
        </is>
      </c>
      <c r="J1142" s="6" t="inlineStr">
        <is>
          <t>KDS-41-20-2022</t>
        </is>
      </c>
      <c r="K1142" s="6">
        <f>_xlfn.XLOOKUP(F665,'PARAMETER 공통'!$B$4:$B$53,'PARAMETER 공통'!$D$4:$D$53,,0,1)</f>
        <v/>
      </c>
      <c r="L1142" s="6">
        <f>_xlfn.TEXTJOIN("/",TRUE,H665,I665,J665,K665)</f>
        <v/>
      </c>
      <c r="M1142" s="6" t="n"/>
      <c r="N1142" s="6" t="n"/>
      <c r="O1142" s="6" t="n"/>
      <c r="P1142" s="6" t="n"/>
      <c r="Q1142" s="6" t="n"/>
      <c r="R1142" s="6" t="n"/>
      <c r="S1142" s="6" t="n"/>
      <c r="T1142" s="6" t="inlineStr">
        <is>
          <t>cancel</t>
        </is>
      </c>
      <c r="V1142" t="inlineStr">
        <is>
          <t>Eurocode</t>
        </is>
      </c>
      <c r="Z1142">
        <f>IF(OR(K665="",K665="TABLE"),"",
_xlfn.TEXTJOIN(", ",TRUE,
IF(E665&lt;&gt;"",E665&amp;K665,""),
IF(F665&lt;&gt;"",F665&amp;K665,""),
IF(G665&lt;&gt;"",G665&amp;K665,"")
))</f>
        <v/>
      </c>
      <c r="AA1142">
        <f>IF(K665="","",IF(K665="TABLE","",K665))</f>
        <v/>
      </c>
      <c r="AB1142">
        <f>IF(ISNUMBER(SEARCH("기존변경필요",SUBSTITUTE(TRIM(V665),CHAR(10)," "))),"",
IFERROR(
  _xlfn.XLOOKUP(AA665,'기존 end point'!B:B,'기존 end point'!B:B,,0),
""))</f>
        <v/>
      </c>
    </row>
    <row r="1143">
      <c r="A1143" t="n">
        <v>665</v>
      </c>
      <c r="C1143" t="inlineStr">
        <is>
          <t>RC Design</t>
        </is>
      </c>
      <c r="D1143" t="inlineStr">
        <is>
          <t>Design Input Data</t>
        </is>
      </c>
      <c r="E1143" t="inlineStr">
        <is>
          <t>Design Parameters</t>
        </is>
      </c>
      <c r="F1143" t="inlineStr">
        <is>
          <t>Load Contribution for Nonlinear Load Case</t>
        </is>
      </c>
      <c r="H1143" t="inlineStr">
        <is>
          <t>DESIGN</t>
        </is>
      </c>
      <c r="I1143" t="inlineStr">
        <is>
          <t>RC</t>
        </is>
      </c>
      <c r="J1143" t="inlineStr">
        <is>
          <t>KDS-41-20-2022</t>
        </is>
      </c>
      <c r="K1143">
        <f>_xlfn.XLOOKUP(F666,'PARAMETER 공통'!$B$4:$B$53,'PARAMETER 공통'!$D$4:$D$53,,0,1)</f>
        <v/>
      </c>
      <c r="L1143">
        <f>_xlfn.TEXTJOIN("/",TRUE,H666,I666,J666,K666)</f>
        <v/>
      </c>
      <c r="N1143" t="inlineStr">
        <is>
          <t>progress</t>
        </is>
      </c>
      <c r="T1143" t="inlineStr">
        <is>
          <t>progress</t>
        </is>
      </c>
      <c r="U1143" t="inlineStr">
        <is>
          <t>개발</t>
        </is>
      </c>
      <c r="V1143" t="n">
        <v>1</v>
      </c>
      <c r="Z1143">
        <f>IF(OR(K666="",K666="TABLE"),"",
_xlfn.TEXTJOIN(", ",TRUE,
IF(E666&lt;&gt;"",E666&amp;K666,""),
IF(F666&lt;&gt;"",F666&amp;K666,""),
IF(G666&lt;&gt;"",G666&amp;K666,"")
))</f>
        <v/>
      </c>
      <c r="AA1143">
        <f>IF(K666="","",IF(K666="TABLE","",K666))</f>
        <v/>
      </c>
      <c r="AB1143">
        <f>IF(ISNUMBER(SEARCH("기존변경필요",SUBSTITUTE(TRIM(V666),CHAR(10)," "))),"",
IFERROR(
  _xlfn.XLOOKUP(AA666,'기존 end point'!B:B,'기존 end point'!B:B,,0),
""))</f>
        <v/>
      </c>
    </row>
    <row r="1144">
      <c r="A1144" t="n">
        <v>666</v>
      </c>
      <c r="C1144" t="inlineStr">
        <is>
          <t>RC Design</t>
        </is>
      </c>
      <c r="D1144" t="inlineStr">
        <is>
          <t>Design Input Data</t>
        </is>
      </c>
      <c r="E1144" t="inlineStr">
        <is>
          <t>Design Parameters</t>
        </is>
      </c>
      <c r="F1144" t="inlineStr">
        <is>
          <t>Member Assignment</t>
        </is>
      </c>
      <c r="H1144" t="inlineStr">
        <is>
          <t>DESIGN</t>
        </is>
      </c>
      <c r="I1144" t="inlineStr">
        <is>
          <t>RC</t>
        </is>
      </c>
      <c r="J1144" t="inlineStr">
        <is>
          <t>KDS-41-20-2022</t>
        </is>
      </c>
      <c r="K1144">
        <f>_xlfn.XLOOKUP(F667,'PARAMETER 공통'!$B$4:$B$53,'PARAMETER 공통'!$D$4:$D$53,,0,1)</f>
        <v/>
      </c>
      <c r="L1144">
        <f>_xlfn.TEXTJOIN("/",TRUE,H667,I667,J667,K667)</f>
        <v/>
      </c>
      <c r="N1144" t="inlineStr">
        <is>
          <t>done</t>
        </is>
      </c>
      <c r="O1144" t="inlineStr">
        <is>
          <t>done</t>
        </is>
      </c>
      <c r="P1144" t="inlineStr">
        <is>
          <t>done</t>
        </is>
      </c>
      <c r="Q1144" t="inlineStr">
        <is>
          <t>done</t>
        </is>
      </c>
      <c r="R1144" t="inlineStr">
        <is>
          <t>done</t>
        </is>
      </c>
      <c r="S1144" t="inlineStr">
        <is>
          <t>warning</t>
        </is>
      </c>
      <c r="T1144" t="inlineStr">
        <is>
          <t>Done</t>
        </is>
      </c>
      <c r="V1144" t="inlineStr">
        <is>
          <t>기존변경필요</t>
        </is>
      </c>
      <c r="Z1144">
        <f>IF(OR(K667="",K667="TABLE"),"",
_xlfn.TEXTJOIN(", ",TRUE,
IF(E667&lt;&gt;"",E667&amp;K667,""),
IF(F667&lt;&gt;"",F667&amp;K667,""),
IF(G667&lt;&gt;"",G667&amp;K667,"")
))</f>
        <v/>
      </c>
      <c r="AA1144">
        <f>IF(K667="","",IF(K667="TABLE","",K667))</f>
        <v/>
      </c>
      <c r="AB1144">
        <f>IF(ISNUMBER(SEARCH("기존변경필요",SUBSTITUTE(TRIM(V667),CHAR(10)," "))),"",
IFERROR(
  _xlfn.XLOOKUP(AA667,'기존 end point'!B:B,'기존 end point'!B:B,,0),
""))</f>
        <v/>
      </c>
    </row>
    <row r="1145">
      <c r="A1145" s="6" t="n">
        <v>667</v>
      </c>
      <c r="B1145" s="6" t="n"/>
      <c r="C1145" s="6" t="inlineStr">
        <is>
          <t>RC Design</t>
        </is>
      </c>
      <c r="D1145" s="6" t="inlineStr">
        <is>
          <t>Design Input Data</t>
        </is>
      </c>
      <c r="E1145" s="6" t="inlineStr">
        <is>
          <t>Design Parameters</t>
        </is>
      </c>
      <c r="F1145" s="6" t="inlineStr">
        <is>
          <t>Reverse Member Load Direction</t>
        </is>
      </c>
      <c r="G1145" s="6" t="n"/>
      <c r="H1145" s="6" t="inlineStr">
        <is>
          <t>DESIGN</t>
        </is>
      </c>
      <c r="I1145" s="6" t="inlineStr">
        <is>
          <t>RC</t>
        </is>
      </c>
      <c r="J1145" s="6" t="inlineStr">
        <is>
          <t>KDS-41-20-2022</t>
        </is>
      </c>
      <c r="K1145" s="6">
        <f>_xlfn.XLOOKUP(F668,'PARAMETER 공통'!$B$4:$B$53,'PARAMETER 공통'!$D$4:$D$53,,0,1)</f>
        <v/>
      </c>
      <c r="L1145" s="6">
        <f>_xlfn.TEXTJOIN("/",TRUE,H668,I668,J668,K668)</f>
        <v/>
      </c>
      <c r="M1145" s="6" t="n"/>
      <c r="N1145" s="6" t="inlineStr">
        <is>
          <t>progress</t>
        </is>
      </c>
      <c r="O1145" s="6" t="n"/>
      <c r="P1145" s="6" t="n"/>
      <c r="Q1145" s="6" t="n"/>
      <c r="R1145" s="6" t="n"/>
      <c r="S1145" s="6" t="n"/>
      <c r="T1145" s="11" t="inlineStr">
        <is>
          <t>cancel</t>
        </is>
      </c>
      <c r="U1145" s="6" t="n"/>
      <c r="V1145" s="7" t="inlineStr">
        <is>
          <t>MEMB와 동일한 기능</t>
        </is>
      </c>
      <c r="Z1145">
        <f>IF(OR(K668="",K668="TABLE"),"",
_xlfn.TEXTJOIN(", ",TRUE,
IF(E668&lt;&gt;"",E668&amp;K668,""),
IF(F668&lt;&gt;"",F668&amp;K668,""),
IF(G668&lt;&gt;"",G668&amp;K668,"")
))</f>
        <v/>
      </c>
      <c r="AA1145">
        <f>IF(K668="","",IF(K668="TABLE","",K668))</f>
        <v/>
      </c>
      <c r="AB1145">
        <f>IF(ISNUMBER(SEARCH("기존변경필요",SUBSTITUTE(TRIM(V668),CHAR(10)," "))),"",
IFERROR(
  _xlfn.XLOOKUP(AA668,'기존 end point'!B:B,'기존 end point'!B:B,,0),
""))</f>
        <v/>
      </c>
    </row>
    <row r="1146">
      <c r="A1146" t="n">
        <v>668</v>
      </c>
      <c r="C1146" t="inlineStr">
        <is>
          <t>RC Design</t>
        </is>
      </c>
      <c r="D1146" t="inlineStr">
        <is>
          <t>Design Input Data</t>
        </is>
      </c>
      <c r="E1146" s="18" t="inlineStr">
        <is>
          <t>Design Parameters</t>
        </is>
      </c>
      <c r="F1146" s="18" t="inlineStr">
        <is>
          <t>Haunched Beam Assignment</t>
        </is>
      </c>
      <c r="G1146" s="18" t="n"/>
      <c r="H1146" s="18" t="inlineStr">
        <is>
          <t>DESIGN</t>
        </is>
      </c>
      <c r="I1146" s="18" t="inlineStr">
        <is>
          <t>RC</t>
        </is>
      </c>
      <c r="J1146" s="18" t="inlineStr">
        <is>
          <t>KDS-41-20-2022</t>
        </is>
      </c>
      <c r="K1146" s="18">
        <f>_xlfn.XLOOKUP(F669,'PARAMETER 공통'!$B$4:$B$53,'PARAMETER 공통'!$D$4:$D$53,,0,1)</f>
        <v/>
      </c>
      <c r="L1146" s="18">
        <f>_xlfn.TEXTJOIN("/",TRUE,H669,I669,J669,K669)</f>
        <v/>
      </c>
      <c r="M1146" s="18" t="n"/>
      <c r="N1146" s="18" t="inlineStr">
        <is>
          <t>done</t>
        </is>
      </c>
      <c r="O1146" s="18" t="n"/>
      <c r="P1146" s="18" t="n"/>
      <c r="Q1146" s="18" t="n"/>
      <c r="R1146" s="18" t="n"/>
      <c r="S1146" s="18" t="n"/>
      <c r="T1146" s="18" t="inlineStr">
        <is>
          <t>progress</t>
        </is>
      </c>
      <c r="U1146" s="18" t="inlineStr">
        <is>
          <t>기획</t>
        </is>
      </c>
      <c r="V1146" t="n">
        <v>3</v>
      </c>
      <c r="Z1146">
        <f>IF(OR(K669="",K669="TABLE"),"",
_xlfn.TEXTJOIN(", ",TRUE,
IF(E669&lt;&gt;"",E669&amp;K669,""),
IF(F669&lt;&gt;"",F669&amp;K669,""),
IF(G669&lt;&gt;"",G669&amp;K669,"")
))</f>
        <v/>
      </c>
      <c r="AA1146">
        <f>IF(K669="","",IF(K669="TABLE","",K669))</f>
        <v/>
      </c>
      <c r="AB1146">
        <f>IF(ISNUMBER(SEARCH("기존변경필요",SUBSTITUTE(TRIM(V669),CHAR(10)," "))),"",
IFERROR(
  _xlfn.XLOOKUP(AA669,'기존 end point'!B:B,'기존 end point'!B:B,,0),
""))</f>
        <v/>
      </c>
    </row>
    <row r="1147">
      <c r="A1147" t="n">
        <v>669</v>
      </c>
      <c r="C1147" t="inlineStr">
        <is>
          <t>RC Design</t>
        </is>
      </c>
      <c r="D1147" t="inlineStr">
        <is>
          <t>Design Input Data</t>
        </is>
      </c>
      <c r="E1147" t="inlineStr">
        <is>
          <t>Design Parameters</t>
        </is>
      </c>
      <c r="F1147" t="inlineStr">
        <is>
          <t>Unbraced Length (L, Lb)</t>
        </is>
      </c>
      <c r="H1147" t="inlineStr">
        <is>
          <t>DESIGN</t>
        </is>
      </c>
      <c r="I1147" t="inlineStr">
        <is>
          <t>RC</t>
        </is>
      </c>
      <c r="J1147" t="inlineStr">
        <is>
          <t>KDS-41-20-2022</t>
        </is>
      </c>
      <c r="K1147">
        <f>_xlfn.XLOOKUP(F670,'PARAMETER 공통'!$B$4:$B$53,'PARAMETER 공통'!$D$4:$D$53,,0,1)</f>
        <v/>
      </c>
      <c r="L1147">
        <f>_xlfn.TEXTJOIN("/",TRUE,H670,I670,J670,K670)</f>
        <v/>
      </c>
      <c r="N1147" t="inlineStr">
        <is>
          <t>done</t>
        </is>
      </c>
      <c r="O1147" t="inlineStr">
        <is>
          <t>done</t>
        </is>
      </c>
      <c r="P1147" t="inlineStr">
        <is>
          <t>done</t>
        </is>
      </c>
      <c r="Q1147" t="inlineStr">
        <is>
          <t>done</t>
        </is>
      </c>
      <c r="R1147" t="inlineStr">
        <is>
          <t>done</t>
        </is>
      </c>
      <c r="S1147" t="inlineStr">
        <is>
          <t>warning</t>
        </is>
      </c>
      <c r="T1147" t="inlineStr">
        <is>
          <t>Done</t>
        </is>
      </c>
      <c r="V1147" t="inlineStr">
        <is>
          <t>기존변경필요</t>
        </is>
      </c>
      <c r="Z1147">
        <f>IF(OR(K670="",K670="TABLE"),"",
_xlfn.TEXTJOIN(", ",TRUE,
IF(E670&lt;&gt;"",E670&amp;K670,""),
IF(F670&lt;&gt;"",F670&amp;K670,""),
IF(G670&lt;&gt;"",G670&amp;K670,"")
))</f>
        <v/>
      </c>
      <c r="AA1147">
        <f>IF(K670="","",IF(K670="TABLE","",K670))</f>
        <v/>
      </c>
      <c r="AB1147">
        <f>IF(ISNUMBER(SEARCH("기존변경필요",SUBSTITUTE(TRIM(V670),CHAR(10)," "))),"",
IFERROR(
  _xlfn.XLOOKUP(AA670,'기존 end point'!B:B,'기존 end point'!B:B,,0),
""))</f>
        <v/>
      </c>
    </row>
    <row r="1148">
      <c r="A1148" t="n">
        <v>670</v>
      </c>
      <c r="C1148" t="inlineStr">
        <is>
          <t>RC Design</t>
        </is>
      </c>
      <c r="D1148" t="inlineStr">
        <is>
          <t>Design Input Data</t>
        </is>
      </c>
      <c r="E1148" t="inlineStr">
        <is>
          <t>Design Parameters</t>
        </is>
      </c>
      <c r="F1148" t="inlineStr">
        <is>
          <t>Effective Length Factor (K)</t>
        </is>
      </c>
      <c r="H1148" t="inlineStr">
        <is>
          <t>DESIGN</t>
        </is>
      </c>
      <c r="I1148" t="inlineStr">
        <is>
          <t>RC</t>
        </is>
      </c>
      <c r="J1148" t="inlineStr">
        <is>
          <t>KDS-41-20-2022</t>
        </is>
      </c>
      <c r="K1148">
        <f>_xlfn.XLOOKUP(F671,'PARAMETER 공통'!$B$4:$B$53,'PARAMETER 공통'!$D$4:$D$53,,0,1)</f>
        <v/>
      </c>
      <c r="L1148">
        <f>_xlfn.TEXTJOIN("/",TRUE,H671,I671,J671,K671)</f>
        <v/>
      </c>
      <c r="N1148" t="inlineStr">
        <is>
          <t>progress</t>
        </is>
      </c>
      <c r="T1148" t="inlineStr">
        <is>
          <t>progress</t>
        </is>
      </c>
      <c r="U1148" s="1" t="inlineStr">
        <is>
          <t>개발</t>
        </is>
      </c>
      <c r="V1148" s="1" t="inlineStr">
        <is>
          <t>기존변경필요</t>
        </is>
      </c>
      <c r="Z1148">
        <f>IF(OR(K671="",K671="TABLE"),"",
_xlfn.TEXTJOIN(", ",TRUE,
IF(E671&lt;&gt;"",E671&amp;K671,""),
IF(F671&lt;&gt;"",F671&amp;K671,""),
IF(G671&lt;&gt;"",G671&amp;K671,"")
))</f>
        <v/>
      </c>
      <c r="AA1148">
        <f>IF(K671="","",IF(K671="TABLE","",K671))</f>
        <v/>
      </c>
      <c r="AB1148">
        <f>IF(ISNUMBER(SEARCH("기존변경필요",SUBSTITUTE(TRIM(V671),CHAR(10)," "))),"",
IFERROR(
  _xlfn.XLOOKUP(AA671,'기존 end point'!B:B,'기존 end point'!B:B,,0),
""))</f>
        <v/>
      </c>
    </row>
    <row r="1149">
      <c r="A1149" t="n">
        <v>671</v>
      </c>
      <c r="C1149" t="inlineStr">
        <is>
          <t>RC Design</t>
        </is>
      </c>
      <c r="D1149" t="inlineStr">
        <is>
          <t>Design Input Data</t>
        </is>
      </c>
      <c r="E1149" t="inlineStr">
        <is>
          <t>Design Parameters</t>
        </is>
      </c>
      <c r="F1149" t="inlineStr">
        <is>
          <t>Equivalent Moment Correction Factor(Cm)</t>
        </is>
      </c>
      <c r="H1149" t="inlineStr">
        <is>
          <t>DESIGN</t>
        </is>
      </c>
      <c r="I1149" t="inlineStr">
        <is>
          <t>RC</t>
        </is>
      </c>
      <c r="J1149" t="inlineStr">
        <is>
          <t>KDS-41-20-2022</t>
        </is>
      </c>
      <c r="K1149">
        <f>_xlfn.XLOOKUP(F672,'PARAMETER 공통'!$B$4:$B$53,'PARAMETER 공통'!$D$4:$D$53,,0,1)</f>
        <v/>
      </c>
      <c r="L1149">
        <f>_xlfn.TEXTJOIN("/",TRUE,H672,I672,J672,K672)</f>
        <v/>
      </c>
      <c r="N1149" t="inlineStr">
        <is>
          <t>progress</t>
        </is>
      </c>
      <c r="T1149" t="inlineStr">
        <is>
          <t>progress</t>
        </is>
      </c>
      <c r="U1149" s="1" t="inlineStr">
        <is>
          <t>개발</t>
        </is>
      </c>
      <c r="V1149" t="n">
        <v>1</v>
      </c>
      <c r="Z1149">
        <f>IF(OR(K672="",K672="TABLE"),"",
_xlfn.TEXTJOIN(", ",TRUE,
IF(E672&lt;&gt;"",E672&amp;K672,""),
IF(F672&lt;&gt;"",F672&amp;K672,""),
IF(G672&lt;&gt;"",G672&amp;K672,"")
))</f>
        <v/>
      </c>
      <c r="AA1149">
        <f>IF(K672="","",IF(K672="TABLE","",K672))</f>
        <v/>
      </c>
      <c r="AB1149">
        <f>IF(ISNUMBER(SEARCH("기존변경필요",SUBSTITUTE(TRIM(V672),CHAR(10)," "))),"",
IFERROR(
  _xlfn.XLOOKUP(AA672,'기존 end point'!B:B,'기존 end point'!B:B,,0),
""))</f>
        <v/>
      </c>
    </row>
    <row r="1150">
      <c r="A1150" t="n">
        <v>672</v>
      </c>
      <c r="C1150" t="inlineStr">
        <is>
          <t>RC Design</t>
        </is>
      </c>
      <c r="D1150" t="inlineStr">
        <is>
          <t>Design Input Data</t>
        </is>
      </c>
      <c r="E1150" t="inlineStr">
        <is>
          <t>Design Parameters</t>
        </is>
      </c>
      <c r="F1150" t="inlineStr">
        <is>
          <t>Moment Magnifier(B1/Delta_b, B2/Delta_s)</t>
        </is>
      </c>
      <c r="H1150" t="inlineStr">
        <is>
          <t>DESIGN</t>
        </is>
      </c>
      <c r="I1150" t="inlineStr">
        <is>
          <t>RC</t>
        </is>
      </c>
      <c r="J1150" t="inlineStr">
        <is>
          <t>KDS-41-20-2022</t>
        </is>
      </c>
      <c r="K1150">
        <f>_xlfn.XLOOKUP(F673,'PARAMETER 공통'!$B$4:$B$53,'PARAMETER 공통'!$D$4:$D$53,,0,1)</f>
        <v/>
      </c>
      <c r="L1150">
        <f>_xlfn.TEXTJOIN("/",TRUE,H673,I673,J673,K673)</f>
        <v/>
      </c>
      <c r="N1150" t="inlineStr">
        <is>
          <t>progress</t>
        </is>
      </c>
      <c r="T1150" t="inlineStr">
        <is>
          <t>progress</t>
        </is>
      </c>
      <c r="U1150" s="1" t="inlineStr">
        <is>
          <t>개발</t>
        </is>
      </c>
      <c r="V1150" t="n">
        <v>1</v>
      </c>
      <c r="Z1150">
        <f>IF(OR(K673="",K673="TABLE"),"",
_xlfn.TEXTJOIN(", ",TRUE,
IF(E673&lt;&gt;"",E673&amp;K673,""),
IF(F673&lt;&gt;"",F673&amp;K673,""),
IF(G673&lt;&gt;"",G673&amp;K673,"")
))</f>
        <v/>
      </c>
      <c r="AA1150">
        <f>IF(K673="","",IF(K673="TABLE","",K673))</f>
        <v/>
      </c>
      <c r="AB1150">
        <f>IF(ISNUMBER(SEARCH("기존변경필요",SUBSTITUTE(TRIM(V673),CHAR(10)," "))),"",
IFERROR(
  _xlfn.XLOOKUP(AA673,'기존 end point'!B:B,'기존 end point'!B:B,,0),
""))</f>
        <v/>
      </c>
    </row>
    <row r="1151">
      <c r="A1151" t="n">
        <v>673</v>
      </c>
      <c r="C1151" t="inlineStr">
        <is>
          <t>RC Design</t>
        </is>
      </c>
      <c r="D1151" t="inlineStr">
        <is>
          <t>Design Input Data</t>
        </is>
      </c>
      <c r="E1151" t="inlineStr">
        <is>
          <t>Design Parameters</t>
        </is>
      </c>
      <c r="F1151" t="inlineStr">
        <is>
          <t>Modify Live Load Reduction Factor</t>
        </is>
      </c>
      <c r="H1151" t="inlineStr">
        <is>
          <t>DESIGN</t>
        </is>
      </c>
      <c r="I1151" t="inlineStr">
        <is>
          <t>RC</t>
        </is>
      </c>
      <c r="J1151" t="inlineStr">
        <is>
          <t>KDS-41-20-2022</t>
        </is>
      </c>
      <c r="K1151">
        <f>_xlfn.XLOOKUP(F674,'PARAMETER 공통'!$B$4:$B$53,'PARAMETER 공통'!$D$4:$D$53,,0,1)</f>
        <v/>
      </c>
      <c r="L1151">
        <f>_xlfn.TEXTJOIN("/",TRUE,H674,I674,J674,K674)</f>
        <v/>
      </c>
      <c r="N1151" t="inlineStr">
        <is>
          <t>progress</t>
        </is>
      </c>
      <c r="T1151" t="inlineStr">
        <is>
          <t>progress</t>
        </is>
      </c>
      <c r="U1151" s="1" t="inlineStr">
        <is>
          <t>개발</t>
        </is>
      </c>
      <c r="V1151" t="n">
        <v>1</v>
      </c>
      <c r="Z1151">
        <f>IF(OR(K674="",K674="TABLE"),"",
_xlfn.TEXTJOIN(", ",TRUE,
IF(E674&lt;&gt;"",E674&amp;K674,""),
IF(F674&lt;&gt;"",F674&amp;K674,""),
IF(G674&lt;&gt;"",G674&amp;K674,"")
))</f>
        <v/>
      </c>
      <c r="AA1151">
        <f>IF(K674="","",IF(K674="TABLE","",K674))</f>
        <v/>
      </c>
      <c r="AB1151">
        <f>IF(ISNUMBER(SEARCH("기존변경필요",SUBSTITUTE(TRIM(V674),CHAR(10)," "))),"",
IFERROR(
  _xlfn.XLOOKUP(AA674,'기존 end point'!B:B,'기존 end point'!B:B,,0),
""))</f>
        <v/>
      </c>
    </row>
    <row r="1152">
      <c r="A1152" t="n">
        <v>674</v>
      </c>
      <c r="C1152" t="inlineStr">
        <is>
          <t>RC Design</t>
        </is>
      </c>
      <c r="D1152" t="inlineStr">
        <is>
          <t>Design Input Data</t>
        </is>
      </c>
      <c r="E1152" t="inlineStr">
        <is>
          <t>Design Parameters</t>
        </is>
      </c>
      <c r="F1152" t="inlineStr">
        <is>
          <t>Scale up Factor for Earthquake</t>
        </is>
      </c>
      <c r="H1152" t="inlineStr">
        <is>
          <t>DESIGN</t>
        </is>
      </c>
      <c r="I1152" t="inlineStr">
        <is>
          <t>RC</t>
        </is>
      </c>
      <c r="J1152" t="inlineStr">
        <is>
          <t>KDS-41-20-2022</t>
        </is>
      </c>
      <c r="K1152">
        <f>_xlfn.XLOOKUP(F675,'PARAMETER 공통'!$B$4:$B$53,'PARAMETER 공통'!$D$4:$D$53,,0,1)</f>
        <v/>
      </c>
      <c r="L1152">
        <f>_xlfn.TEXTJOIN("/",TRUE,H675,I675,J675,K675)</f>
        <v/>
      </c>
      <c r="N1152" t="inlineStr">
        <is>
          <t>progress</t>
        </is>
      </c>
      <c r="T1152" t="inlineStr">
        <is>
          <t>progress</t>
        </is>
      </c>
      <c r="U1152" s="1" t="inlineStr">
        <is>
          <t>개발</t>
        </is>
      </c>
      <c r="V1152" t="n">
        <v>1</v>
      </c>
      <c r="Z1152">
        <f>IF(OR(K675="",K675="TABLE"),"",
_xlfn.TEXTJOIN(", ",TRUE,
IF(E675&lt;&gt;"",E675&amp;K675,""),
IF(F675&lt;&gt;"",F675&amp;K675,""),
IF(G675&lt;&gt;"",G675&amp;K675,"")
))</f>
        <v/>
      </c>
      <c r="AA1152">
        <f>IF(K675="","",IF(K675="TABLE","",K675))</f>
        <v/>
      </c>
      <c r="AB1152">
        <f>IF(ISNUMBER(SEARCH("기존변경필요",SUBSTITUTE(TRIM(V675),CHAR(10)," "))),"",
IFERROR(
  _xlfn.XLOOKUP(AA675,'기존 end point'!B:B,'기존 end point'!B:B,,0),
""))</f>
        <v/>
      </c>
    </row>
    <row r="1153">
      <c r="A1153" t="n">
        <v>675</v>
      </c>
      <c r="C1153" t="inlineStr">
        <is>
          <t>RC Design</t>
        </is>
      </c>
      <c r="D1153" t="inlineStr">
        <is>
          <t>Design Input Data</t>
        </is>
      </c>
      <c r="E1153" s="6" t="inlineStr">
        <is>
          <t>Design Parameters</t>
        </is>
      </c>
      <c r="F1153" s="6" t="inlineStr">
        <is>
          <t>Earthquake-Resistant Grade</t>
        </is>
      </c>
      <c r="G1153" s="6" t="n"/>
      <c r="H1153" s="6" t="inlineStr">
        <is>
          <t>DESIGN</t>
        </is>
      </c>
      <c r="I1153" s="6" t="inlineStr">
        <is>
          <t>RC</t>
        </is>
      </c>
      <c r="J1153" s="6" t="inlineStr">
        <is>
          <t>KDS-41-20-2022</t>
        </is>
      </c>
      <c r="K1153" s="6">
        <f>_xlfn.XLOOKUP(F676,'PARAMETER 공통'!$B$4:$B$53,'PARAMETER 공통'!$D$4:$D$53,,0,1)</f>
        <v/>
      </c>
      <c r="L1153" s="6">
        <f>_xlfn.TEXTJOIN("/",TRUE,H676,I676,J676,K676)</f>
        <v/>
      </c>
      <c r="M1153" s="6" t="n"/>
      <c r="N1153" s="6" t="n"/>
      <c r="O1153" s="6" t="n"/>
      <c r="P1153" s="6" t="n"/>
      <c r="Q1153" s="6" t="n"/>
      <c r="R1153" s="6" t="n"/>
      <c r="S1153" s="6" t="n"/>
      <c r="T1153" s="6" t="inlineStr">
        <is>
          <t>cancel</t>
        </is>
      </c>
      <c r="U1153" s="6" t="n"/>
      <c r="V1153" t="inlineStr">
        <is>
          <t>중국코드</t>
        </is>
      </c>
      <c r="Z1153">
        <f>IF(OR(K676="",K676="TABLE"),"",
_xlfn.TEXTJOIN(", ",TRUE,
IF(E676&lt;&gt;"",E676&amp;K676,""),
IF(F676&lt;&gt;"",F676&amp;K676,""),
IF(G676&lt;&gt;"",G676&amp;K676,"")
))</f>
        <v/>
      </c>
      <c r="AA1153">
        <f>IF(K676="","",IF(K676="TABLE","",K676))</f>
        <v/>
      </c>
      <c r="AB1153">
        <f>IF(ISNUMBER(SEARCH("기존변경필요",SUBSTITUTE(TRIM(V676),CHAR(10)," "))),"",
IFERROR(
  _xlfn.XLOOKUP(AA676,'기존 end point'!B:B,'기존 end point'!B:B,,0),
""))</f>
        <v/>
      </c>
    </row>
    <row r="1154">
      <c r="A1154" t="n">
        <v>676</v>
      </c>
      <c r="C1154" t="inlineStr">
        <is>
          <t>RC Design</t>
        </is>
      </c>
      <c r="D1154" t="inlineStr">
        <is>
          <t>Design Input Data</t>
        </is>
      </c>
      <c r="E1154" t="inlineStr">
        <is>
          <t>Design Parameters</t>
        </is>
      </c>
      <c r="F1154" t="inlineStr">
        <is>
          <t>Modify Member Type</t>
        </is>
      </c>
      <c r="H1154" t="inlineStr">
        <is>
          <t>DESIGN</t>
        </is>
      </c>
      <c r="I1154" t="inlineStr">
        <is>
          <t>RC</t>
        </is>
      </c>
      <c r="J1154" t="inlineStr">
        <is>
          <t>KDS-41-20-2022</t>
        </is>
      </c>
      <c r="K1154">
        <f>_xlfn.XLOOKUP(F677,'PARAMETER 공통'!$B$4:$B$53,'PARAMETER 공통'!$D$4:$D$53,,0,1)</f>
        <v/>
      </c>
      <c r="L1154">
        <f>_xlfn.TEXTJOIN("/",TRUE,H677,I677,J677,K677)</f>
        <v/>
      </c>
      <c r="N1154" t="inlineStr">
        <is>
          <t>done</t>
        </is>
      </c>
      <c r="O1154" t="inlineStr">
        <is>
          <t>done</t>
        </is>
      </c>
      <c r="P1154" t="inlineStr">
        <is>
          <t>done</t>
        </is>
      </c>
      <c r="Q1154" t="inlineStr">
        <is>
          <t>done</t>
        </is>
      </c>
      <c r="R1154" t="inlineStr">
        <is>
          <t>done</t>
        </is>
      </c>
      <c r="S1154" t="inlineStr">
        <is>
          <t>warning</t>
        </is>
      </c>
      <c r="T1154" t="inlineStr">
        <is>
          <t>Done</t>
        </is>
      </c>
      <c r="V1154" t="inlineStr">
        <is>
          <t>기존변경필요</t>
        </is>
      </c>
      <c r="Z1154">
        <f>IF(OR(K677="",K677="TABLE"),"",
_xlfn.TEXTJOIN(", ",TRUE,
IF(E677&lt;&gt;"",E677&amp;K677,""),
IF(F677&lt;&gt;"",F677&amp;K677,""),
IF(G677&lt;&gt;"",G677&amp;K677,"")
))</f>
        <v/>
      </c>
      <c r="AA1154">
        <f>IF(K677="","",IF(K677="TABLE","",K677))</f>
        <v/>
      </c>
      <c r="AB1154">
        <f>IF(ISNUMBER(SEARCH("기존변경필요",SUBSTITUTE(TRIM(V677),CHAR(10)," "))),"",
IFERROR(
  _xlfn.XLOOKUP(AA677,'기존 end point'!B:B,'기존 end point'!B:B,,0),
""))</f>
        <v/>
      </c>
    </row>
    <row r="1155">
      <c r="A1155" t="n">
        <v>677</v>
      </c>
      <c r="C1155" t="inlineStr">
        <is>
          <t>RC Design</t>
        </is>
      </c>
      <c r="D1155" t="inlineStr">
        <is>
          <t>Design Input Data</t>
        </is>
      </c>
      <c r="E1155" t="inlineStr">
        <is>
          <t>Design Parameters</t>
        </is>
      </c>
      <c r="F1155" t="inlineStr">
        <is>
          <t>Seismic Load Combination Type</t>
        </is>
      </c>
      <c r="H1155" t="inlineStr">
        <is>
          <t>DESIGN</t>
        </is>
      </c>
      <c r="I1155" t="inlineStr">
        <is>
          <t>RC</t>
        </is>
      </c>
      <c r="J1155" t="inlineStr">
        <is>
          <t>KDS-41-20-2022</t>
        </is>
      </c>
      <c r="K1155">
        <f>_xlfn.XLOOKUP(F678,'PARAMETER 공통'!$B$4:$B$53,'PARAMETER 공통'!$D$4:$D$53,,0,1)</f>
        <v/>
      </c>
      <c r="L1155">
        <f>_xlfn.TEXTJOIN("/",TRUE,H678,I678,J678,K678)</f>
        <v/>
      </c>
      <c r="N1155" t="inlineStr">
        <is>
          <t>progress</t>
        </is>
      </c>
      <c r="T1155" t="inlineStr">
        <is>
          <t>progress</t>
        </is>
      </c>
      <c r="U1155" s="1" t="inlineStr">
        <is>
          <t>개발</t>
        </is>
      </c>
      <c r="V1155" t="n">
        <v>1</v>
      </c>
      <c r="Z1155">
        <f>IF(OR(K678="",K678="TABLE"),"",
_xlfn.TEXTJOIN(", ",TRUE,
IF(E678&lt;&gt;"",E678&amp;K678,""),
IF(F678&lt;&gt;"",F678&amp;K678,""),
IF(G678&lt;&gt;"",G678&amp;K678,"")
))</f>
        <v/>
      </c>
      <c r="AA1155">
        <f>IF(K678="","",IF(K678="TABLE","",K678))</f>
        <v/>
      </c>
      <c r="AB1155">
        <f>IF(ISNUMBER(SEARCH("기존변경필요",SUBSTITUTE(TRIM(V678),CHAR(10)," "))),"",
IFERROR(
  _xlfn.XLOOKUP(AA678,'기존 end point'!B:B,'기존 end point'!B:B,,0),
""))</f>
        <v/>
      </c>
    </row>
    <row r="1156">
      <c r="A1156" t="n">
        <v>678</v>
      </c>
      <c r="C1156" t="inlineStr">
        <is>
          <t>RC Design</t>
        </is>
      </c>
      <c r="D1156" t="inlineStr">
        <is>
          <t>Design Input Data</t>
        </is>
      </c>
      <c r="E1156" t="inlineStr">
        <is>
          <t>Design Parameters</t>
        </is>
      </c>
      <c r="F1156" t="inlineStr">
        <is>
          <t>Seismic Design Type</t>
        </is>
      </c>
      <c r="H1156" t="inlineStr">
        <is>
          <t>DESIGN</t>
        </is>
      </c>
      <c r="I1156" t="inlineStr">
        <is>
          <t>RC</t>
        </is>
      </c>
      <c r="J1156" t="inlineStr">
        <is>
          <t>KDS-41-20-2022</t>
        </is>
      </c>
      <c r="K1156">
        <f>_xlfn.XLOOKUP(F679,'PARAMETER 공통'!$B$4:$B$53,'PARAMETER 공통'!$D$4:$D$53,,0,1)</f>
        <v/>
      </c>
      <c r="L1156">
        <f>_xlfn.TEXTJOIN("/",TRUE,H679,I679,J679,K679)</f>
        <v/>
      </c>
      <c r="N1156" t="inlineStr">
        <is>
          <t>progress</t>
        </is>
      </c>
      <c r="T1156" t="inlineStr">
        <is>
          <t>progress</t>
        </is>
      </c>
      <c r="U1156" s="1" t="inlineStr">
        <is>
          <t>개발</t>
        </is>
      </c>
      <c r="V1156" t="n">
        <v>1</v>
      </c>
      <c r="Z1156">
        <f>IF(OR(K679="",K679="TABLE"),"",
_xlfn.TEXTJOIN(", ",TRUE,
IF(E679&lt;&gt;"",E679&amp;K679,""),
IF(F679&lt;&gt;"",F679&amp;K679,""),
IF(G679&lt;&gt;"",G679&amp;K679,"")
))</f>
        <v/>
      </c>
      <c r="AA1156">
        <f>IF(K679="","",IF(K679="TABLE","",K679))</f>
        <v/>
      </c>
      <c r="AB1156">
        <f>IF(ISNUMBER(SEARCH("기존변경필요",SUBSTITUTE(TRIM(V679),CHAR(10)," "))),"",
IFERROR(
  _xlfn.XLOOKUP(AA679,'기존 end point'!B:B,'기존 end point'!B:B,,0),
""))</f>
        <v/>
      </c>
    </row>
    <row r="1157">
      <c r="A1157" t="n">
        <v>679</v>
      </c>
      <c r="C1157" t="inlineStr">
        <is>
          <t>RC Design</t>
        </is>
      </c>
      <c r="D1157" t="inlineStr">
        <is>
          <t>Design Input Data</t>
        </is>
      </c>
      <c r="E1157" t="inlineStr">
        <is>
          <t>Design Parameters</t>
        </is>
      </c>
      <c r="F1157" t="inlineStr">
        <is>
          <t>Undergroung Load Combination Type</t>
        </is>
      </c>
      <c r="H1157" t="inlineStr">
        <is>
          <t>DESIGN</t>
        </is>
      </c>
      <c r="I1157" t="inlineStr">
        <is>
          <t>RC</t>
        </is>
      </c>
      <c r="J1157" t="inlineStr">
        <is>
          <t>KDS-41-20-2022</t>
        </is>
      </c>
      <c r="K1157">
        <f>_xlfn.XLOOKUP(F680,'PARAMETER 공통'!$B$4:$B$53,'PARAMETER 공통'!$D$4:$D$53,,0,1)</f>
        <v/>
      </c>
      <c r="L1157">
        <f>_xlfn.TEXTJOIN("/",TRUE,H680,I680,J680,K680)</f>
        <v/>
      </c>
      <c r="N1157" t="inlineStr">
        <is>
          <t>done</t>
        </is>
      </c>
      <c r="O1157" t="inlineStr">
        <is>
          <t>done</t>
        </is>
      </c>
      <c r="P1157" t="inlineStr">
        <is>
          <t>done</t>
        </is>
      </c>
      <c r="Q1157" t="inlineStr">
        <is>
          <t>done</t>
        </is>
      </c>
      <c r="R1157" t="inlineStr">
        <is>
          <t>done</t>
        </is>
      </c>
      <c r="S1157" t="inlineStr">
        <is>
          <t>warning</t>
        </is>
      </c>
      <c r="T1157" t="inlineStr">
        <is>
          <t>Done</t>
        </is>
      </c>
      <c r="V1157" t="inlineStr">
        <is>
          <t>기존변경필요</t>
        </is>
      </c>
      <c r="Z1157">
        <f>IF(OR(K680="",K680="TABLE"),"",
_xlfn.TEXTJOIN(", ",TRUE,
IF(E680&lt;&gt;"",E680&amp;K680,""),
IF(F680&lt;&gt;"",F680&amp;K680,""),
IF(G680&lt;&gt;"",G680&amp;K680,"")
))</f>
        <v/>
      </c>
      <c r="AA1157">
        <f>IF(K680="","",IF(K680="TABLE","",K680))</f>
        <v/>
      </c>
      <c r="AB1157">
        <f>IF(ISNUMBER(SEARCH("기존변경필요",SUBSTITUTE(TRIM(V680),CHAR(10)," "))),"",
IFERROR(
  _xlfn.XLOOKUP(AA680,'기존 end point'!B:B,'기존 end point'!B:B,,0),
""))</f>
        <v/>
      </c>
    </row>
    <row r="1158">
      <c r="A1158" t="n">
        <v>680</v>
      </c>
      <c r="C1158" t="inlineStr">
        <is>
          <t>RC Design</t>
        </is>
      </c>
      <c r="D1158" t="inlineStr">
        <is>
          <t>Design Input Data</t>
        </is>
      </c>
      <c r="E1158" t="inlineStr">
        <is>
          <t>Design Parameters</t>
        </is>
      </c>
      <c r="F1158" t="inlineStr">
        <is>
          <t>Strength Reduction Factors</t>
        </is>
      </c>
      <c r="H1158" t="inlineStr">
        <is>
          <t>DESIGN</t>
        </is>
      </c>
      <c r="I1158" t="inlineStr">
        <is>
          <t>RC</t>
        </is>
      </c>
      <c r="J1158" t="inlineStr">
        <is>
          <t>KDS-41-20-2022</t>
        </is>
      </c>
      <c r="K1158">
        <f>_xlfn.XLOOKUP(F681,'PARAMETER 공통'!$B$4:$B$53,'PARAMETER 공통'!$D$4:$D$53,,0,1)</f>
        <v/>
      </c>
      <c r="L1158">
        <f>_xlfn.TEXTJOIN("/",TRUE,H681,I681,J681,K681)</f>
        <v/>
      </c>
      <c r="N1158" t="inlineStr">
        <is>
          <t>progress</t>
        </is>
      </c>
      <c r="T1158" t="inlineStr">
        <is>
          <t>progress</t>
        </is>
      </c>
      <c r="U1158" s="1" t="inlineStr">
        <is>
          <t>개발</t>
        </is>
      </c>
      <c r="V1158" t="n">
        <v>1</v>
      </c>
      <c r="Z1158">
        <f>IF(OR(K681="",K681="TABLE"),"",
_xlfn.TEXTJOIN(", ",TRUE,
IF(E681&lt;&gt;"",E681&amp;K681,""),
IF(F681&lt;&gt;"",F681&amp;K681,""),
IF(G681&lt;&gt;"",G681&amp;K681,"")
))</f>
        <v/>
      </c>
      <c r="AA1158">
        <f>IF(K681="","",IF(K681="TABLE","",K681))</f>
        <v/>
      </c>
      <c r="AB1158">
        <f>IF(ISNUMBER(SEARCH("기존변경필요",SUBSTITUTE(TRIM(V681),CHAR(10)," "))),"",
IFERROR(
  _xlfn.XLOOKUP(AA681,'기존 end point'!B:B,'기존 end point'!B:B,,0),
""))</f>
        <v/>
      </c>
    </row>
    <row r="1159">
      <c r="A1159" t="n">
        <v>681</v>
      </c>
      <c r="C1159" t="inlineStr">
        <is>
          <t>RC Design</t>
        </is>
      </c>
      <c r="D1159" t="inlineStr">
        <is>
          <t>Design Input Data</t>
        </is>
      </c>
      <c r="E1159" t="inlineStr">
        <is>
          <t>Design Parameters</t>
        </is>
      </c>
      <c r="F1159" t="inlineStr">
        <is>
          <t>Moment Redistribution Factor</t>
        </is>
      </c>
      <c r="H1159" t="inlineStr">
        <is>
          <t>DESIGN</t>
        </is>
      </c>
      <c r="I1159" t="inlineStr">
        <is>
          <t>RC</t>
        </is>
      </c>
      <c r="J1159" t="inlineStr">
        <is>
          <t>KDS-41-20-2022</t>
        </is>
      </c>
      <c r="K1159">
        <f>_xlfn.XLOOKUP(F682,'PARAMETER 공통'!$B$4:$B$53,'PARAMETER 공통'!$D$4:$D$53,,0,1)</f>
        <v/>
      </c>
      <c r="L1159">
        <f>_xlfn.TEXTJOIN("/",TRUE,H682,I682,J682,K682)</f>
        <v/>
      </c>
      <c r="N1159" t="inlineStr">
        <is>
          <t>progress</t>
        </is>
      </c>
      <c r="T1159" t="inlineStr">
        <is>
          <t>progress</t>
        </is>
      </c>
      <c r="U1159" s="1" t="inlineStr">
        <is>
          <t>개발</t>
        </is>
      </c>
      <c r="V1159" t="n">
        <v>1</v>
      </c>
      <c r="Z1159">
        <f>IF(OR(K682="",K682="TABLE"),"",
_xlfn.TEXTJOIN(", ",TRUE,
IF(E682&lt;&gt;"",E682&amp;K682,""),
IF(F682&lt;&gt;"",F682&amp;K682,""),
IF(G682&lt;&gt;"",G682&amp;K682,"")
))</f>
        <v/>
      </c>
      <c r="AA1159">
        <f>IF(K682="","",IF(K682="TABLE","",K682))</f>
        <v/>
      </c>
      <c r="AB1159">
        <f>IF(ISNUMBER(SEARCH("기존변경필요",SUBSTITUTE(TRIM(V682),CHAR(10)," "))),"",
IFERROR(
  _xlfn.XLOOKUP(AA682,'기존 end point'!B:B,'기존 end point'!B:B,,0),
""))</f>
        <v/>
      </c>
    </row>
    <row r="1160">
      <c r="A1160" t="n">
        <v>682</v>
      </c>
      <c r="C1160" t="inlineStr">
        <is>
          <t>RC Design</t>
        </is>
      </c>
      <c r="D1160" t="inlineStr">
        <is>
          <t>Design Input Data</t>
        </is>
      </c>
      <c r="E1160" t="inlineStr">
        <is>
          <t>Design Parameters</t>
        </is>
      </c>
      <c r="F1160" t="inlineStr">
        <is>
          <t>Torsion Reduction Factor</t>
        </is>
      </c>
      <c r="H1160" t="inlineStr">
        <is>
          <t>DESIGN</t>
        </is>
      </c>
      <c r="I1160" t="inlineStr">
        <is>
          <t>RC</t>
        </is>
      </c>
      <c r="J1160" t="inlineStr">
        <is>
          <t>KDS-41-20-2022</t>
        </is>
      </c>
      <c r="K1160">
        <f>_xlfn.XLOOKUP(F683,'PARAMETER 공통'!$B$4:$B$53,'PARAMETER 공통'!$D$4:$D$53,,0,1)</f>
        <v/>
      </c>
      <c r="L1160">
        <f>_xlfn.TEXTJOIN("/",TRUE,H683,I683,J683,K683)</f>
        <v/>
      </c>
      <c r="N1160" t="inlineStr">
        <is>
          <t>progress</t>
        </is>
      </c>
      <c r="T1160" t="inlineStr">
        <is>
          <t>progress</t>
        </is>
      </c>
      <c r="U1160" s="1" t="inlineStr">
        <is>
          <t>개발</t>
        </is>
      </c>
      <c r="V1160" t="n">
        <v>1</v>
      </c>
      <c r="Z1160">
        <f>IF(OR(K683="",K683="TABLE"),"",
_xlfn.TEXTJOIN(", ",TRUE,
IF(E683&lt;&gt;"",E683&amp;K683,""),
IF(F683&lt;&gt;"",F683&amp;K683,""),
IF(G683&lt;&gt;"",G683&amp;K683,"")
))</f>
        <v/>
      </c>
      <c r="AA1160">
        <f>IF(K683="","",IF(K683="TABLE","",K683))</f>
        <v/>
      </c>
      <c r="AB1160">
        <f>IF(ISNUMBER(SEARCH("기존변경필요",SUBSTITUTE(TRIM(V683),CHAR(10)," "))),"",
IFERROR(
  _xlfn.XLOOKUP(AA683,'기존 end point'!B:B,'기존 end point'!B:B,,0),
""))</f>
        <v/>
      </c>
    </row>
    <row r="1161">
      <c r="A1161" s="6" t="n">
        <v>683</v>
      </c>
      <c r="B1161" s="6" t="n"/>
      <c r="C1161" s="6" t="inlineStr">
        <is>
          <t>RC Design</t>
        </is>
      </c>
      <c r="D1161" s="6" t="inlineStr">
        <is>
          <t>Design Input Data</t>
        </is>
      </c>
      <c r="E1161" s="6" t="inlineStr">
        <is>
          <t>Design Parameters</t>
        </is>
      </c>
      <c r="F1161" s="6" t="inlineStr">
        <is>
          <t>Serviceavility Prarmeters</t>
        </is>
      </c>
      <c r="G1161" s="6" t="n"/>
      <c r="H1161" s="6" t="inlineStr">
        <is>
          <t>DESIGN</t>
        </is>
      </c>
      <c r="I1161" s="6" t="inlineStr">
        <is>
          <t>RC</t>
        </is>
      </c>
      <c r="J1161" s="6" t="inlineStr">
        <is>
          <t>KDS-41-20-2022</t>
        </is>
      </c>
      <c r="K1161" s="6">
        <f>_xlfn.XLOOKUP(F684,'PARAMETER 공통'!$B$4:$B$99,'PARAMETER 공통'!$D$4:$D$99,,0,1)</f>
        <v/>
      </c>
      <c r="L1161" s="6">
        <f>_xlfn.TEXTJOIN("/",TRUE,H684,I684,J684,K684)</f>
        <v/>
      </c>
      <c r="M1161" s="6" t="n"/>
      <c r="N1161" s="6" t="n"/>
      <c r="O1161" s="6" t="n"/>
      <c r="P1161" s="6" t="n"/>
      <c r="Q1161" s="6" t="n"/>
      <c r="R1161" s="6" t="n"/>
      <c r="S1161" s="6" t="n"/>
      <c r="T1161" s="6" t="inlineStr">
        <is>
          <t>cancel</t>
        </is>
      </c>
      <c r="V1161" t="n">
        <v>1</v>
      </c>
      <c r="Z1161">
        <f>IF(OR(K684="",K684="TABLE"),"",
_xlfn.TEXTJOIN(", ",TRUE,
IF(E684&lt;&gt;"",E684&amp;K684,""),
IF(F684&lt;&gt;"",F684&amp;K684,""),
IF(G684&lt;&gt;"",G684&amp;K684,"")
))</f>
        <v/>
      </c>
      <c r="AA1161">
        <f>IF(K684="","",IF(K684="TABLE","",K684))</f>
        <v/>
      </c>
      <c r="AB1161">
        <f>IF(ISNUMBER(SEARCH("기존변경필요",SUBSTITUTE(TRIM(V684),CHAR(10)," "))),"",
IFERROR(
  _xlfn.XLOOKUP(AA684,'기존 end point'!B:B,'기존 end point'!B:B,,0),
""))</f>
        <v/>
      </c>
    </row>
    <row r="1162">
      <c r="A1162" s="6" t="n">
        <v>684</v>
      </c>
      <c r="B1162" s="6" t="n"/>
      <c r="C1162" s="6" t="inlineStr">
        <is>
          <t>RC Design</t>
        </is>
      </c>
      <c r="D1162" s="6" t="inlineStr">
        <is>
          <t>Design Input Data</t>
        </is>
      </c>
      <c r="E1162" s="6" t="inlineStr">
        <is>
          <t>Design Parameters</t>
        </is>
      </c>
      <c r="F1162" s="6" t="inlineStr">
        <is>
          <t>Uncertainty Load Combination Factor</t>
        </is>
      </c>
      <c r="G1162" s="6" t="n"/>
      <c r="H1162" s="6" t="inlineStr">
        <is>
          <t>DESIGN</t>
        </is>
      </c>
      <c r="I1162" s="6" t="inlineStr">
        <is>
          <t>RC</t>
        </is>
      </c>
      <c r="J1162" s="6" t="inlineStr">
        <is>
          <t>KDS-41-20-2022</t>
        </is>
      </c>
      <c r="K1162" s="6">
        <f>_xlfn.XLOOKUP(F685,'PARAMETER 공통'!$B$4:$B$53,'PARAMETER 공통'!$D$4:$D$53,,0,1)</f>
        <v/>
      </c>
      <c r="L1162" s="6">
        <f>_xlfn.TEXTJOIN("/",TRUE,H685,I685,J685,K685)</f>
        <v/>
      </c>
      <c r="M1162" s="6" t="n"/>
      <c r="N1162" s="6" t="n"/>
      <c r="O1162" s="6" t="n"/>
      <c r="P1162" s="6" t="n"/>
      <c r="Q1162" s="6" t="n"/>
      <c r="R1162" s="6" t="n"/>
      <c r="S1162" s="6" t="n"/>
      <c r="T1162" s="6" t="inlineStr">
        <is>
          <t>cancel</t>
        </is>
      </c>
      <c r="V1162" t="inlineStr">
        <is>
          <t>GB/T50010-10 중국코드</t>
        </is>
      </c>
      <c r="Z1162">
        <f>IF(OR(K685="",K685="TABLE"),"",
_xlfn.TEXTJOIN(", ",TRUE,
IF(E685&lt;&gt;"",E685&amp;K685,""),
IF(F685&lt;&gt;"",F685&amp;K685,""),
IF(G685&lt;&gt;"",G685&amp;K685,"")
))</f>
        <v/>
      </c>
      <c r="AA1162">
        <f>IF(K685="","",IF(K685="TABLE","",K685))</f>
        <v/>
      </c>
      <c r="AB1162">
        <f>IF(ISNUMBER(SEARCH("기존변경필요",SUBSTITUTE(TRIM(V685),CHAR(10)," "))),"",
IFERROR(
  _xlfn.XLOOKUP(AA685,'기존 end point'!B:B,'기존 end point'!B:B,,0),
""))</f>
        <v/>
      </c>
    </row>
    <row r="1163">
      <c r="A1163" s="6" t="n">
        <v>685</v>
      </c>
      <c r="B1163" s="6" t="n"/>
      <c r="C1163" s="6" t="inlineStr">
        <is>
          <t>RC Design</t>
        </is>
      </c>
      <c r="D1163" s="6" t="inlineStr">
        <is>
          <t>Design Input Data</t>
        </is>
      </c>
      <c r="E1163" s="6" t="inlineStr">
        <is>
          <t>Design Parameters</t>
        </is>
      </c>
      <c r="F1163" s="6" t="inlineStr">
        <is>
          <t>Modify Member Strut Angle</t>
        </is>
      </c>
      <c r="G1163" s="6" t="n"/>
      <c r="H1163" s="6" t="inlineStr">
        <is>
          <t>DESIGN</t>
        </is>
      </c>
      <c r="I1163" s="6" t="inlineStr">
        <is>
          <t>RC</t>
        </is>
      </c>
      <c r="J1163" s="6" t="inlineStr">
        <is>
          <t>KDS-41-20-2022</t>
        </is>
      </c>
      <c r="K1163" s="6">
        <f>_xlfn.XLOOKUP(F686,'PARAMETER 공통'!$B$4:$B$53,'PARAMETER 공통'!$D$4:$D$53,,0,1)</f>
        <v/>
      </c>
      <c r="L1163" s="6">
        <f>_xlfn.TEXTJOIN("/",TRUE,H686,I686,J686,K686)</f>
        <v/>
      </c>
      <c r="M1163" s="6" t="n"/>
      <c r="N1163" s="6" t="n"/>
      <c r="O1163" s="6" t="n"/>
      <c r="P1163" s="6" t="n"/>
      <c r="Q1163" s="6" t="n"/>
      <c r="R1163" s="6" t="n"/>
      <c r="S1163" s="6" t="n"/>
      <c r="T1163" s="6" t="inlineStr">
        <is>
          <t>cancel</t>
        </is>
      </c>
      <c r="V1163" t="inlineStr">
        <is>
          <t>eurocode</t>
        </is>
      </c>
      <c r="Z1163">
        <f>IF(OR(K686="",K686="TABLE"),"",
_xlfn.TEXTJOIN(", ",TRUE,
IF(E686&lt;&gt;"",E686&amp;K686,""),
IF(F686&lt;&gt;"",F686&amp;K686,""),
IF(G686&lt;&gt;"",G686&amp;K686,"")
))</f>
        <v/>
      </c>
      <c r="AA1163">
        <f>IF(K686="","",IF(K686="TABLE","",K686))</f>
        <v/>
      </c>
      <c r="AB1163">
        <f>IF(ISNUMBER(SEARCH("기존변경필요",SUBSTITUTE(TRIM(V686),CHAR(10)," "))),"",
IFERROR(
  _xlfn.XLOOKUP(AA686,'기존 end point'!B:B,'기존 end point'!B:B,,0),
""))</f>
        <v/>
      </c>
    </row>
    <row r="1164">
      <c r="A1164" t="n">
        <v>686</v>
      </c>
      <c r="C1164" t="inlineStr">
        <is>
          <t>RC Design</t>
        </is>
      </c>
      <c r="D1164" t="inlineStr">
        <is>
          <t>Design Input Data</t>
        </is>
      </c>
      <c r="E1164" t="inlineStr">
        <is>
          <t>Design Parameters</t>
        </is>
      </c>
      <c r="F1164" t="inlineStr">
        <is>
          <t>Moment Calculation Method for Beam</t>
        </is>
      </c>
      <c r="H1164" t="inlineStr">
        <is>
          <t>DESIGN</t>
        </is>
      </c>
      <c r="I1164" t="inlineStr">
        <is>
          <t>RC</t>
        </is>
      </c>
      <c r="J1164" t="inlineStr">
        <is>
          <t>KDS-41-20-2022</t>
        </is>
      </c>
      <c r="K1164">
        <f>_xlfn.XLOOKUP(F687,'PARAMETER 공통'!$B$4:$B$53,'PARAMETER 공통'!$D$4:$D$53,,0,1)</f>
        <v/>
      </c>
      <c r="L1164">
        <f>_xlfn.TEXTJOIN("/",TRUE,H687,I687,J687,K687)</f>
        <v/>
      </c>
      <c r="N1164" t="inlineStr">
        <is>
          <t>progress</t>
        </is>
      </c>
      <c r="T1164" t="inlineStr">
        <is>
          <t>progress</t>
        </is>
      </c>
      <c r="U1164" s="1" t="inlineStr">
        <is>
          <t>개발</t>
        </is>
      </c>
      <c r="V1164" t="n">
        <v>1</v>
      </c>
      <c r="Z1164">
        <f>IF(OR(K687="",K687="TABLE"),"",
_xlfn.TEXTJOIN(", ",TRUE,
IF(E687&lt;&gt;"",E687&amp;K687,""),
IF(F687&lt;&gt;"",F687&amp;K687,""),
IF(G687&lt;&gt;"",G687&amp;K687,"")
))</f>
        <v/>
      </c>
      <c r="AA1164">
        <f>IF(K687="","",IF(K687="TABLE","",K687))</f>
        <v/>
      </c>
      <c r="AB1164">
        <f>IF(ISNUMBER(SEARCH("기존변경필요",SUBSTITUTE(TRIM(V687),CHAR(10)," "))),"",
IFERROR(
  _xlfn.XLOOKUP(AA687,'기존 end point'!B:B,'기존 end point'!B:B,,0),
""))</f>
        <v/>
      </c>
    </row>
    <row r="1165">
      <c r="A1165" t="n">
        <v>687</v>
      </c>
      <c r="C1165" t="inlineStr">
        <is>
          <t>RC Design</t>
        </is>
      </c>
      <c r="D1165" t="inlineStr">
        <is>
          <t>Design Input Data</t>
        </is>
      </c>
      <c r="E1165" t="inlineStr">
        <is>
          <t>Design Parameters</t>
        </is>
      </c>
      <c r="F1165" t="inlineStr">
        <is>
          <t>Design Force for Beam Assigned as Member</t>
        </is>
      </c>
      <c r="H1165" t="inlineStr">
        <is>
          <t>DESIGN</t>
        </is>
      </c>
      <c r="I1165" t="inlineStr">
        <is>
          <t>RC</t>
        </is>
      </c>
      <c r="J1165" t="inlineStr">
        <is>
          <t>KDS-41-20-2022</t>
        </is>
      </c>
      <c r="K1165">
        <f>_xlfn.XLOOKUP(F688,'PARAMETER 공통'!$B$4:$B$53,'PARAMETER 공통'!$D$4:$D$53,,0,1)</f>
        <v/>
      </c>
      <c r="L1165">
        <f>_xlfn.TEXTJOIN("/",TRUE,H688,I688,J688,K688)</f>
        <v/>
      </c>
      <c r="N1165" t="inlineStr">
        <is>
          <t>progress</t>
        </is>
      </c>
      <c r="T1165" t="inlineStr">
        <is>
          <t>progress</t>
        </is>
      </c>
      <c r="U1165" s="1" t="inlineStr">
        <is>
          <t>개발</t>
        </is>
      </c>
      <c r="V1165" t="n">
        <v>1</v>
      </c>
      <c r="Z1165">
        <f>IF(OR(K688="",K688="TABLE"),"",
_xlfn.TEXTJOIN(", ",TRUE,
IF(E688&lt;&gt;"",E688&amp;K688,""),
IF(F688&lt;&gt;"",F688&amp;K688,""),
IF(G688&lt;&gt;"",G688&amp;K688,"")
))</f>
        <v/>
      </c>
      <c r="AA1165">
        <f>IF(K688="","",IF(K688="TABLE","",K688))</f>
        <v/>
      </c>
      <c r="AB1165">
        <f>IF(ISNUMBER(SEARCH("기존변경필요",SUBSTITUTE(TRIM(V688),CHAR(10)," "))),"",
IFERROR(
  _xlfn.XLOOKUP(AA688,'기존 end point'!B:B,'기존 end point'!B:B,,0),
""))</f>
        <v/>
      </c>
    </row>
    <row r="1166">
      <c r="A1166" t="n">
        <v>688</v>
      </c>
      <c r="C1166" t="inlineStr">
        <is>
          <t>RC Design</t>
        </is>
      </c>
      <c r="D1166" t="inlineStr">
        <is>
          <t>Design Input Data</t>
        </is>
      </c>
      <c r="E1166" t="inlineStr">
        <is>
          <t>Design Parameters</t>
        </is>
      </c>
      <c r="F1166" t="inlineStr">
        <is>
          <t>P-M Curve Calculation Method</t>
        </is>
      </c>
      <c r="H1166" t="inlineStr">
        <is>
          <t>DESIGN</t>
        </is>
      </c>
      <c r="I1166" t="inlineStr">
        <is>
          <t>RC</t>
        </is>
      </c>
      <c r="J1166" t="inlineStr">
        <is>
          <t>KDS-41-20-2022</t>
        </is>
      </c>
      <c r="K1166">
        <f>_xlfn.XLOOKUP(F689,'PARAMETER 공통'!$B$4:$B$53,'PARAMETER 공통'!$D$4:$D$53,,0,1)</f>
        <v/>
      </c>
      <c r="L1166">
        <f>_xlfn.TEXTJOIN("/",TRUE,H689,I689,J689,K689)</f>
        <v/>
      </c>
      <c r="N1166" t="inlineStr">
        <is>
          <t>progress</t>
        </is>
      </c>
      <c r="T1166" t="inlineStr">
        <is>
          <t>progress</t>
        </is>
      </c>
      <c r="U1166" s="1" t="inlineStr">
        <is>
          <t>개발</t>
        </is>
      </c>
      <c r="V1166" t="n">
        <v>1</v>
      </c>
      <c r="Z1166">
        <f>IF(OR(K689="",K689="TABLE"),"",
_xlfn.TEXTJOIN(", ",TRUE,
IF(E689&lt;&gt;"",E689&amp;K689,""),
IF(F689&lt;&gt;"",F689&amp;K689,""),
IF(G689&lt;&gt;"",G689&amp;K689,"")
))</f>
        <v/>
      </c>
      <c r="AA1166">
        <f>IF(K689="","",IF(K689="TABLE","",K689))</f>
        <v/>
      </c>
      <c r="AB1166">
        <f>IF(ISNUMBER(SEARCH("기존변경필요",SUBSTITUTE(TRIM(V689),CHAR(10)," "))),"",
IFERROR(
  _xlfn.XLOOKUP(AA689,'기존 end point'!B:B,'기존 end point'!B:B,,0),
""))</f>
        <v/>
      </c>
    </row>
    <row r="1167">
      <c r="A1167" t="n">
        <v>689</v>
      </c>
      <c r="C1167" t="inlineStr">
        <is>
          <t>RC Design</t>
        </is>
      </c>
      <c r="D1167" t="inlineStr">
        <is>
          <t>Design Input Data</t>
        </is>
      </c>
      <c r="E1167" t="inlineStr">
        <is>
          <t>Design Parameters</t>
        </is>
      </c>
      <c r="F1167" t="inlineStr">
        <is>
          <t>Seismic Column Type</t>
        </is>
      </c>
      <c r="H1167" t="inlineStr">
        <is>
          <t>DESIGN</t>
        </is>
      </c>
      <c r="I1167" t="inlineStr">
        <is>
          <t>RC</t>
        </is>
      </c>
      <c r="J1167" t="inlineStr">
        <is>
          <t>KDS-41-20-2022</t>
        </is>
      </c>
      <c r="K1167">
        <f>_xlfn.XLOOKUP(F690,'PARAMETER 공통'!$B$4:$B$53,'PARAMETER 공통'!$D$4:$D$53,,0,1)</f>
        <v/>
      </c>
      <c r="L1167">
        <f>_xlfn.TEXTJOIN("/",TRUE,H690,I690,J690,K690)</f>
        <v/>
      </c>
      <c r="N1167" t="inlineStr">
        <is>
          <t>progress</t>
        </is>
      </c>
      <c r="T1167" t="inlineStr">
        <is>
          <t>progress</t>
        </is>
      </c>
      <c r="U1167" s="1" t="inlineStr">
        <is>
          <t>개발</t>
        </is>
      </c>
      <c r="V1167" t="n">
        <v>1</v>
      </c>
      <c r="Z1167">
        <f>IF(OR(K690="",K690="TABLE"),"",
_xlfn.TEXTJOIN(", ",TRUE,
IF(E690&lt;&gt;"",E690&amp;K690,""),
IF(F690&lt;&gt;"",F690&amp;K690,""),
IF(G690&lt;&gt;"",G690&amp;K690,"")
))</f>
        <v/>
      </c>
      <c r="AA1167">
        <f>IF(K690="","",IF(K690="TABLE","",K690))</f>
        <v/>
      </c>
      <c r="AB1167">
        <f>IF(ISNUMBER(SEARCH("기존변경필요",SUBSTITUTE(TRIM(V690),CHAR(10)," "))),"",
IFERROR(
  _xlfn.XLOOKUP(AA690,'기존 end point'!B:B,'기존 end point'!B:B,,0),
""))</f>
        <v/>
      </c>
    </row>
    <row r="1168">
      <c r="A1168" t="n">
        <v>690</v>
      </c>
      <c r="C1168" s="6" t="inlineStr">
        <is>
          <t>RC Design</t>
        </is>
      </c>
      <c r="D1168" s="6" t="inlineStr">
        <is>
          <t>Design Input Data</t>
        </is>
      </c>
      <c r="E1168" s="6" t="inlineStr">
        <is>
          <t>Design Parameters</t>
        </is>
      </c>
      <c r="F1168" s="21" t="inlineStr">
        <is>
          <t>Prestress Parameter</t>
        </is>
      </c>
      <c r="G1168" s="22" t="inlineStr">
        <is>
          <t>Modify Prestress Loss Factors</t>
        </is>
      </c>
      <c r="H1168" s="6" t="inlineStr">
        <is>
          <t>DESIGN</t>
        </is>
      </c>
      <c r="I1168" s="6" t="inlineStr">
        <is>
          <t>RC</t>
        </is>
      </c>
      <c r="J1168" s="6" t="inlineStr">
        <is>
          <t>KDS-41-20-2022</t>
        </is>
      </c>
      <c r="K1168" s="23" t="inlineStr">
        <is>
          <t>MPLF</t>
        </is>
      </c>
      <c r="L1168" s="6">
        <f>_xlfn.TEXTJOIN("/",TRUE,H691,I691,J691,K691)</f>
        <v/>
      </c>
      <c r="M1168" s="6" t="n"/>
      <c r="N1168" s="6" t="n"/>
      <c r="O1168" s="6" t="n"/>
      <c r="P1168" s="6" t="n"/>
      <c r="Q1168" s="6" t="n"/>
      <c r="R1168" s="6" t="n"/>
      <c r="S1168" s="6" t="n"/>
      <c r="T1168" s="6" t="inlineStr">
        <is>
          <t>cancel</t>
        </is>
      </c>
      <c r="U1168" s="6" t="n"/>
      <c r="V1168" t="n">
        <v>3</v>
      </c>
      <c r="Z1168">
        <f>IF(OR(K691="",K691="TABLE"),"",
_xlfn.TEXTJOIN(", ",TRUE,
IF(E691&lt;&gt;"",E691&amp;K691,""),
IF(F691&lt;&gt;"",F691&amp;K691,""),
IF(G691&lt;&gt;"",G691&amp;K691,"")
))</f>
        <v/>
      </c>
      <c r="AA1168">
        <f>IF(K691="","",IF(K691="TABLE","",K691))</f>
        <v/>
      </c>
      <c r="AB1168">
        <f>IF(ISNUMBER(SEARCH("기존변경필요",SUBSTITUTE(TRIM(V691),CHAR(10)," "))),"",
IFERROR(
  _xlfn.XLOOKUP(AA691,'기존 end point'!B:B,'기존 end point'!B:B,,0),
""))</f>
        <v/>
      </c>
    </row>
    <row r="1169">
      <c r="A1169" t="n">
        <v>691</v>
      </c>
      <c r="C1169" s="6" t="inlineStr">
        <is>
          <t>RC Design</t>
        </is>
      </c>
      <c r="D1169" s="6" t="inlineStr">
        <is>
          <t>Design Input Data</t>
        </is>
      </c>
      <c r="E1169" s="6" t="inlineStr">
        <is>
          <t>Design Parameters</t>
        </is>
      </c>
      <c r="F1169" s="24" t="inlineStr">
        <is>
          <t>Prestress Parameter</t>
        </is>
      </c>
      <c r="G1169" s="22" t="inlineStr">
        <is>
          <t>Modify Transfer Stage</t>
        </is>
      </c>
      <c r="H1169" s="6" t="inlineStr">
        <is>
          <t>DESIGN</t>
        </is>
      </c>
      <c r="I1169" s="6" t="inlineStr">
        <is>
          <t>RC</t>
        </is>
      </c>
      <c r="J1169" s="6" t="inlineStr">
        <is>
          <t>KDS-41-20-2022</t>
        </is>
      </c>
      <c r="K1169" s="23" t="inlineStr">
        <is>
          <t>MTST</t>
        </is>
      </c>
      <c r="L1169" s="6">
        <f>_xlfn.TEXTJOIN("/",TRUE,H692,I692,J692,K692)</f>
        <v/>
      </c>
      <c r="M1169" s="6" t="n"/>
      <c r="N1169" s="6" t="n"/>
      <c r="O1169" s="6" t="n"/>
      <c r="P1169" s="6" t="n"/>
      <c r="Q1169" s="6" t="n"/>
      <c r="R1169" s="6" t="n"/>
      <c r="S1169" s="6" t="n"/>
      <c r="T1169" s="6" t="inlineStr">
        <is>
          <t>cancel</t>
        </is>
      </c>
      <c r="U1169" s="6" t="n"/>
      <c r="V1169" t="n">
        <v>3</v>
      </c>
      <c r="Z1169">
        <f>IF(OR(K692="",K692="TABLE"),"",
_xlfn.TEXTJOIN(", ",TRUE,
IF(E692&lt;&gt;"",E692&amp;K692,""),
IF(F692&lt;&gt;"",F692&amp;K692,""),
IF(G692&lt;&gt;"",G692&amp;K692,"")
))</f>
        <v/>
      </c>
      <c r="AA1169">
        <f>IF(K692="","",IF(K692="TABLE","",K692))</f>
        <v/>
      </c>
      <c r="AB1169">
        <f>IF(ISNUMBER(SEARCH("기존변경필요",SUBSTITUTE(TRIM(V692),CHAR(10)," "))),"",
IFERROR(
  _xlfn.XLOOKUP(AA692,'기존 end point'!B:B,'기존 end point'!B:B,,0),
""))</f>
        <v/>
      </c>
    </row>
    <row r="1170">
      <c r="A1170" t="n">
        <v>692</v>
      </c>
      <c r="C1170" s="6" t="inlineStr">
        <is>
          <t>RC Design</t>
        </is>
      </c>
      <c r="D1170" s="6" t="inlineStr">
        <is>
          <t>Design Input Data</t>
        </is>
      </c>
      <c r="E1170" s="6" t="inlineStr">
        <is>
          <t>Design Parameters</t>
        </is>
      </c>
      <c r="F1170" s="24" t="inlineStr">
        <is>
          <t>Prestress Parameter</t>
        </is>
      </c>
      <c r="G1170" s="22" t="inlineStr">
        <is>
          <t>Modify Prestress Materials</t>
        </is>
      </c>
      <c r="H1170" s="6" t="inlineStr">
        <is>
          <t>DESIGN</t>
        </is>
      </c>
      <c r="I1170" s="6" t="inlineStr">
        <is>
          <t>RC</t>
        </is>
      </c>
      <c r="J1170" s="6" t="inlineStr">
        <is>
          <t>KDS-41-20-2022</t>
        </is>
      </c>
      <c r="K1170" s="23" t="inlineStr">
        <is>
          <t>MPMA</t>
        </is>
      </c>
      <c r="L1170" s="6">
        <f>_xlfn.TEXTJOIN("/",TRUE,H693,I693,J693,K693)</f>
        <v/>
      </c>
      <c r="M1170" s="6" t="n"/>
      <c r="N1170" s="6" t="n"/>
      <c r="O1170" s="6" t="n"/>
      <c r="P1170" s="6" t="n"/>
      <c r="Q1170" s="6" t="n"/>
      <c r="R1170" s="6" t="n"/>
      <c r="S1170" s="6" t="n"/>
      <c r="T1170" s="6" t="inlineStr">
        <is>
          <t>cancel</t>
        </is>
      </c>
      <c r="U1170" s="6" t="n"/>
      <c r="V1170" t="n">
        <v>3</v>
      </c>
      <c r="Z1170">
        <f>IF(OR(K693="",K693="TABLE"),"",
_xlfn.TEXTJOIN(", ",TRUE,
IF(E693&lt;&gt;"",E693&amp;K693,""),
IF(F693&lt;&gt;"",F693&amp;K693,""),
IF(G693&lt;&gt;"",G693&amp;K693,"")
))</f>
        <v/>
      </c>
      <c r="AA1170">
        <f>IF(K693="","",IF(K693="TABLE","",K693))</f>
        <v/>
      </c>
      <c r="AB1170">
        <f>IF(ISNUMBER(SEARCH("기존변경필요",SUBSTITUTE(TRIM(V693),CHAR(10)," "))),"",
IFERROR(
  _xlfn.XLOOKUP(AA693,'기존 end point'!B:B,'기존 end point'!B:B,,0),
""))</f>
        <v/>
      </c>
    </row>
    <row r="1171">
      <c r="A1171" t="n">
        <v>693</v>
      </c>
      <c r="C1171" s="6" t="inlineStr">
        <is>
          <t>RC Design</t>
        </is>
      </c>
      <c r="D1171" s="6" t="inlineStr">
        <is>
          <t>Design Input Data</t>
        </is>
      </c>
      <c r="E1171" s="6" t="inlineStr">
        <is>
          <t>Design Parameters</t>
        </is>
      </c>
      <c r="F1171" s="24" t="inlineStr">
        <is>
          <t>Prestress Parameter</t>
        </is>
      </c>
      <c r="G1171" s="22" t="inlineStr">
        <is>
          <t>Modify Jacking Stresses</t>
        </is>
      </c>
      <c r="H1171" s="6" t="inlineStr">
        <is>
          <t>DESIGN</t>
        </is>
      </c>
      <c r="I1171" s="6" t="inlineStr">
        <is>
          <t>RC</t>
        </is>
      </c>
      <c r="J1171" s="6" t="inlineStr">
        <is>
          <t>KDS-41-20-2022</t>
        </is>
      </c>
      <c r="K1171" s="23" t="inlineStr">
        <is>
          <t>MJACS</t>
        </is>
      </c>
      <c r="L1171" s="6">
        <f>_xlfn.TEXTJOIN("/",TRUE,H694,I694,J694,K694)</f>
        <v/>
      </c>
      <c r="M1171" s="6" t="n"/>
      <c r="N1171" s="6" t="n"/>
      <c r="O1171" s="6" t="n"/>
      <c r="P1171" s="6" t="n"/>
      <c r="Q1171" s="6" t="n"/>
      <c r="R1171" s="6" t="n"/>
      <c r="S1171" s="6" t="n"/>
      <c r="T1171" s="6" t="inlineStr">
        <is>
          <t>cancel</t>
        </is>
      </c>
      <c r="U1171" s="6" t="n"/>
      <c r="V1171" t="n">
        <v>3</v>
      </c>
      <c r="Z1171">
        <f>IF(OR(K694="",K694="TABLE"),"",
_xlfn.TEXTJOIN(", ",TRUE,
IF(E694&lt;&gt;"",E694&amp;K694,""),
IF(F694&lt;&gt;"",F694&amp;K694,""),
IF(G694&lt;&gt;"",G694&amp;K694,"")
))</f>
        <v/>
      </c>
      <c r="AA1171">
        <f>IF(K694="","",IF(K694="TABLE","",K694))</f>
        <v/>
      </c>
      <c r="AB1171">
        <f>IF(ISNUMBER(SEARCH("기존변경필요",SUBSTITUTE(TRIM(V694),CHAR(10)," "))),"",
IFERROR(
  _xlfn.XLOOKUP(AA694,'기존 end point'!B:B,'기존 end point'!B:B,,0),
""))</f>
        <v/>
      </c>
    </row>
    <row r="1172">
      <c r="A1172" t="n">
        <v>694</v>
      </c>
      <c r="C1172" s="6" t="inlineStr">
        <is>
          <t>RC Design</t>
        </is>
      </c>
      <c r="D1172" s="6" t="inlineStr">
        <is>
          <t>Design Input Data</t>
        </is>
      </c>
      <c r="E1172" s="6" t="inlineStr">
        <is>
          <t>Design Parameters</t>
        </is>
      </c>
      <c r="F1172" s="24" t="inlineStr">
        <is>
          <t>Prestress Parameter</t>
        </is>
      </c>
      <c r="G1172" s="22" t="inlineStr">
        <is>
          <t>Specify Prestress Allowable Stresses</t>
        </is>
      </c>
      <c r="H1172" s="6" t="inlineStr">
        <is>
          <t>DESIGN</t>
        </is>
      </c>
      <c r="I1172" s="6" t="inlineStr">
        <is>
          <t>RC</t>
        </is>
      </c>
      <c r="J1172" s="6" t="inlineStr">
        <is>
          <t>KDS-41-20-2022</t>
        </is>
      </c>
      <c r="K1172" s="23" t="inlineStr">
        <is>
          <t>SPAS</t>
        </is>
      </c>
      <c r="L1172" s="6">
        <f>_xlfn.TEXTJOIN("/",TRUE,H695,I695,J695,K695)</f>
        <v/>
      </c>
      <c r="M1172" s="6" t="n"/>
      <c r="N1172" s="6" t="n"/>
      <c r="O1172" s="6" t="n"/>
      <c r="P1172" s="6" t="n"/>
      <c r="Q1172" s="6" t="n"/>
      <c r="R1172" s="6" t="n"/>
      <c r="S1172" s="6" t="n"/>
      <c r="T1172" s="6" t="inlineStr">
        <is>
          <t>cancel</t>
        </is>
      </c>
      <c r="U1172" s="6" t="n"/>
      <c r="V1172" t="n">
        <v>3</v>
      </c>
      <c r="Z1172">
        <f>IF(OR(K695="",K695="TABLE"),"",
_xlfn.TEXTJOIN(", ",TRUE,
IF(E695&lt;&gt;"",E695&amp;K695,""),
IF(F695&lt;&gt;"",F695&amp;K695,""),
IF(G695&lt;&gt;"",G695&amp;K695,"")
))</f>
        <v/>
      </c>
      <c r="AA1172">
        <f>IF(K695="","",IF(K695="TABLE","",K695))</f>
        <v/>
      </c>
      <c r="AB1172">
        <f>IF(ISNUMBER(SEARCH("기존변경필요",SUBSTITUTE(TRIM(V695),CHAR(10)," "))),"",
IFERROR(
  _xlfn.XLOOKUP(AA695,'기존 end point'!B:B,'기존 end point'!B:B,,0),
""))</f>
        <v/>
      </c>
    </row>
    <row r="1173">
      <c r="A1173" t="n">
        <v>695</v>
      </c>
      <c r="C1173" t="inlineStr">
        <is>
          <t>RC Design</t>
        </is>
      </c>
      <c r="D1173" t="inlineStr">
        <is>
          <t>Design Input Data</t>
        </is>
      </c>
      <c r="E1173" t="inlineStr">
        <is>
          <t>Design Parameters</t>
        </is>
      </c>
      <c r="F1173" t="inlineStr">
        <is>
          <t>Modify Wall Mark Data</t>
        </is>
      </c>
      <c r="H1173" t="inlineStr">
        <is>
          <t>DESIGN</t>
        </is>
      </c>
      <c r="I1173" t="inlineStr">
        <is>
          <t>RC</t>
        </is>
      </c>
      <c r="J1173" t="inlineStr">
        <is>
          <t>KDS-41-20-2022</t>
        </is>
      </c>
      <c r="K1173" s="17" t="inlineStr">
        <is>
          <t>WMAK</t>
        </is>
      </c>
      <c r="L1173">
        <f>_xlfn.TEXTJOIN("/",TRUE,H696,I696,J696,K696)</f>
        <v/>
      </c>
      <c r="N1173" t="inlineStr">
        <is>
          <t>done</t>
        </is>
      </c>
      <c r="O1173" t="inlineStr">
        <is>
          <t>done</t>
        </is>
      </c>
      <c r="P1173" t="inlineStr">
        <is>
          <t>done</t>
        </is>
      </c>
      <c r="Q1173" t="inlineStr">
        <is>
          <t>done</t>
        </is>
      </c>
      <c r="R1173" t="inlineStr">
        <is>
          <t>done</t>
        </is>
      </c>
      <c r="S1173" t="inlineStr">
        <is>
          <t>warning</t>
        </is>
      </c>
      <c r="T1173" t="inlineStr">
        <is>
          <t>Done</t>
        </is>
      </c>
      <c r="V1173" t="inlineStr">
        <is>
          <t>기존변경필요</t>
        </is>
      </c>
      <c r="Z1173">
        <f>IF(OR(K696="",K696="TABLE"),"",
_xlfn.TEXTJOIN(", ",TRUE,
IF(E696&lt;&gt;"",E696&amp;K696,""),
IF(F696&lt;&gt;"",F696&amp;K696,""),
IF(G696&lt;&gt;"",G696&amp;K696,"")
))</f>
        <v/>
      </c>
      <c r="AA1173">
        <f>IF(K696="","",IF(K696="TABLE","",K696))</f>
        <v/>
      </c>
      <c r="AB1173">
        <f>IF(ISNUMBER(SEARCH("기존변경필요",SUBSTITUTE(TRIM(V696),CHAR(10)," "))),"",
IFERROR(
  _xlfn.XLOOKUP(AA696,'기존 end point'!B:B,'기존 end point'!B:B,,0),
""))</f>
        <v/>
      </c>
    </row>
    <row r="1174">
      <c r="A1174" t="n">
        <v>696</v>
      </c>
      <c r="C1174" t="inlineStr">
        <is>
          <t>RC Design</t>
        </is>
      </c>
      <c r="D1174" t="inlineStr">
        <is>
          <t>Design Input Data</t>
        </is>
      </c>
      <c r="E1174" t="inlineStr">
        <is>
          <t>Design Parameters</t>
        </is>
      </c>
      <c r="F1174" t="inlineStr">
        <is>
          <t>Boundary Element Method by Wall ID</t>
        </is>
      </c>
      <c r="H1174" t="inlineStr">
        <is>
          <t>DESIGN</t>
        </is>
      </c>
      <c r="I1174" t="inlineStr">
        <is>
          <t>RC</t>
        </is>
      </c>
      <c r="J1174" t="inlineStr">
        <is>
          <t>KDS-41-20-2022</t>
        </is>
      </c>
      <c r="K1174">
        <f>_xlfn.XLOOKUP(F697,'PARAMETER 공통'!$B$4:$B$99,'PARAMETER 공통'!$D$4:$D$99,,0,1)</f>
        <v/>
      </c>
      <c r="L1174">
        <f>_xlfn.TEXTJOIN("/",TRUE,H697,I697,J697,K697)</f>
        <v/>
      </c>
      <c r="N1174" t="inlineStr">
        <is>
          <t>progress</t>
        </is>
      </c>
      <c r="T1174" t="inlineStr">
        <is>
          <t>progress</t>
        </is>
      </c>
      <c r="V1174" t="n">
        <v>1</v>
      </c>
      <c r="Z1174">
        <f>IF(OR(K697="",K697="TABLE"),"",
_xlfn.TEXTJOIN(", ",TRUE,
IF(E697&lt;&gt;"",E697&amp;K697,""),
IF(F697&lt;&gt;"",F697&amp;K697,""),
IF(G697&lt;&gt;"",G697&amp;K697,"")
))</f>
        <v/>
      </c>
      <c r="AA1174">
        <f>IF(K697="","",IF(K697="TABLE","",K697))</f>
        <v/>
      </c>
      <c r="AB1174">
        <f>IF(ISNUMBER(SEARCH("기존변경필요",SUBSTITUTE(TRIM(V697),CHAR(10)," "))),"",
IFERROR(
  _xlfn.XLOOKUP(AA697,'기존 end point'!B:B,'기존 end point'!B:B,,0),
""))</f>
        <v/>
      </c>
    </row>
    <row r="1175">
      <c r="A1175" t="n">
        <v>697</v>
      </c>
      <c r="C1175" t="inlineStr">
        <is>
          <t>RC Design</t>
        </is>
      </c>
      <c r="D1175" t="inlineStr">
        <is>
          <t>Design Input Data</t>
        </is>
      </c>
      <c r="E1175" t="inlineStr">
        <is>
          <t>Rebar Data</t>
        </is>
      </c>
      <c r="F1175" t="inlineStr">
        <is>
          <t>Limiting Maximum Rebar Ratio</t>
        </is>
      </c>
      <c r="H1175" t="inlineStr">
        <is>
          <t>DESIGN</t>
        </is>
      </c>
      <c r="I1175" t="inlineStr">
        <is>
          <t>RC</t>
        </is>
      </c>
      <c r="J1175" t="inlineStr">
        <is>
          <t>KDS-41-20-2022</t>
        </is>
      </c>
      <c r="K1175" s="17" t="inlineStr">
        <is>
          <t>LMRR</t>
        </is>
      </c>
      <c r="L1175">
        <f>_xlfn.TEXTJOIN("/",TRUE,H698,I698,J698,K698)</f>
        <v/>
      </c>
      <c r="N1175" t="inlineStr">
        <is>
          <t>progress</t>
        </is>
      </c>
      <c r="T1175" t="inlineStr">
        <is>
          <t>progress</t>
        </is>
      </c>
      <c r="U1175" s="1" t="inlineStr">
        <is>
          <t>개발</t>
        </is>
      </c>
      <c r="Z1175">
        <f>IF(OR(K698="",K698="TABLE"),"",
_xlfn.TEXTJOIN(", ",TRUE,
IF(E698&lt;&gt;"",E698&amp;K698,""),
IF(F698&lt;&gt;"",F698&amp;K698,""),
IF(G698&lt;&gt;"",G698&amp;K698,"")
))</f>
        <v/>
      </c>
      <c r="AA1175">
        <f>IF(K698="","",IF(K698="TABLE","",K698))</f>
        <v/>
      </c>
      <c r="AB1175">
        <f>IF(ISNUMBER(SEARCH("기존변경필요",SUBSTITUTE(TRIM(V698),CHAR(10)," "))),"",
IFERROR(
  _xlfn.XLOOKUP(AA698,'기존 end point'!B:B,'기존 end point'!B:B,,0),
""))</f>
        <v/>
      </c>
    </row>
    <row r="1176">
      <c r="A1176" t="n">
        <v>698</v>
      </c>
      <c r="C1176" t="inlineStr">
        <is>
          <t>RC Design</t>
        </is>
      </c>
      <c r="D1176" t="inlineStr">
        <is>
          <t>Design Input Data</t>
        </is>
      </c>
      <c r="E1176" t="inlineStr">
        <is>
          <t>Rebar Data</t>
        </is>
      </c>
      <c r="F1176" s="18" t="inlineStr">
        <is>
          <t>Design Criteria for Rebar</t>
        </is>
      </c>
      <c r="G1176" s="18" t="n"/>
      <c r="H1176" s="18" t="inlineStr">
        <is>
          <t>DESIGN</t>
        </is>
      </c>
      <c r="I1176" s="18" t="inlineStr">
        <is>
          <t>RC</t>
        </is>
      </c>
      <c r="J1176" s="18" t="inlineStr">
        <is>
          <t>KDS-41-20-2022</t>
        </is>
      </c>
      <c r="K1176" s="20" t="inlineStr">
        <is>
          <t>DCRE</t>
        </is>
      </c>
      <c r="L1176" s="18">
        <f>_xlfn.TEXTJOIN("/",TRUE,H699,I699,J699,K699)</f>
        <v/>
      </c>
      <c r="M1176" s="18" t="n"/>
      <c r="N1176" s="18" t="inlineStr">
        <is>
          <t>done</t>
        </is>
      </c>
      <c r="O1176" s="18" t="n"/>
      <c r="P1176" s="18" t="n"/>
      <c r="Q1176" s="18" t="n"/>
      <c r="R1176" s="18" t="n"/>
      <c r="S1176" s="18" t="n"/>
      <c r="T1176" s="18" t="inlineStr">
        <is>
          <t>progress</t>
        </is>
      </c>
      <c r="U1176" s="18" t="inlineStr">
        <is>
          <t>기획</t>
        </is>
      </c>
      <c r="W1176" t="inlineStr">
        <is>
          <t>special ver. 입력은 is456 에서 활성화</t>
        </is>
      </c>
      <c r="Z1176">
        <f>IF(OR(K699="",K699="TABLE"),"",
_xlfn.TEXTJOIN(", ",TRUE,
IF(E699&lt;&gt;"",E699&amp;K699,""),
IF(F699&lt;&gt;"",F699&amp;K699,""),
IF(G699&lt;&gt;"",G699&amp;K699,"")
))</f>
        <v/>
      </c>
      <c r="AA1176">
        <f>IF(K699="","",IF(K699="TABLE","",K699))</f>
        <v/>
      </c>
      <c r="AB1176">
        <f>IF(ISNUMBER(SEARCH("기존변경필요",SUBSTITUTE(TRIM(V699),CHAR(10)," "))),"",
IFERROR(
  _xlfn.XLOOKUP(AA699,'기존 end point'!B:B,'기존 end point'!B:B,,0),
""))</f>
        <v/>
      </c>
    </row>
    <row r="1177">
      <c r="A1177" t="n">
        <v>699</v>
      </c>
      <c r="C1177" t="inlineStr">
        <is>
          <t>RC Design</t>
        </is>
      </c>
      <c r="D1177" t="inlineStr">
        <is>
          <t>Design Input Data</t>
        </is>
      </c>
      <c r="E1177" t="inlineStr">
        <is>
          <t>Rebar Data</t>
        </is>
      </c>
      <c r="F1177" s="18" t="inlineStr">
        <is>
          <t>Design Criteria for Rebars by Member</t>
        </is>
      </c>
      <c r="G1177" s="18" t="n"/>
      <c r="H1177" s="18" t="inlineStr">
        <is>
          <t>DESIGN</t>
        </is>
      </c>
      <c r="I1177" s="18" t="inlineStr">
        <is>
          <t>RC</t>
        </is>
      </c>
      <c r="J1177" s="18" t="inlineStr">
        <is>
          <t>KDS-41-20-2022</t>
        </is>
      </c>
      <c r="K1177" s="18">
        <f>_xlfn.XLOOKUP(F700,'PARAMETER 공통'!$B$4:$B$53,'PARAMETER 공통'!$D$4:$D$53,,0,1)</f>
        <v/>
      </c>
      <c r="L1177" s="18">
        <f>_xlfn.TEXTJOIN("/",TRUE,H700,I700,J700,K700)</f>
        <v/>
      </c>
      <c r="M1177" s="18" t="n"/>
      <c r="N1177" s="18" t="inlineStr">
        <is>
          <t>done</t>
        </is>
      </c>
      <c r="O1177" s="18" t="n"/>
      <c r="P1177" s="18" t="n"/>
      <c r="Q1177" s="18" t="n"/>
      <c r="R1177" s="18" t="n"/>
      <c r="S1177" s="18" t="n"/>
      <c r="T1177" s="18" t="inlineStr">
        <is>
          <t>progress</t>
        </is>
      </c>
      <c r="U1177" s="18" t="inlineStr">
        <is>
          <t>기획</t>
        </is>
      </c>
      <c r="Z1177">
        <f>IF(OR(K700="",K700="TABLE"),"",
_xlfn.TEXTJOIN(", ",TRUE,
IF(E700&lt;&gt;"",E700&amp;K700,""),
IF(F700&lt;&gt;"",F700&amp;K700,""),
IF(G700&lt;&gt;"",G700&amp;K700,"")
))</f>
        <v/>
      </c>
      <c r="AA1177">
        <f>IF(K700="","",IF(K700="TABLE","",K700))</f>
        <v/>
      </c>
      <c r="AB1177">
        <f>IF(ISNUMBER(SEARCH("기존변경필요",SUBSTITUTE(TRIM(V700),CHAR(10)," "))),"",
IFERROR(
  _xlfn.XLOOKUP(AA700,'기존 end point'!B:B,'기존 end point'!B:B,,0),
""))</f>
        <v/>
      </c>
    </row>
    <row r="1178">
      <c r="A1178" t="n">
        <v>700</v>
      </c>
      <c r="C1178" t="inlineStr">
        <is>
          <t>RC Design</t>
        </is>
      </c>
      <c r="D1178" t="inlineStr">
        <is>
          <t>Design Input Data</t>
        </is>
      </c>
      <c r="E1178" t="inlineStr">
        <is>
          <t>Rebar Data</t>
        </is>
      </c>
      <c r="F1178" s="18" t="inlineStr">
        <is>
          <t>Same Beam Rebar at Joints</t>
        </is>
      </c>
      <c r="G1178" s="18" t="n"/>
      <c r="H1178" s="18" t="inlineStr">
        <is>
          <t>DESIGN</t>
        </is>
      </c>
      <c r="I1178" s="18" t="inlineStr">
        <is>
          <t>RC</t>
        </is>
      </c>
      <c r="J1178" s="18" t="inlineStr">
        <is>
          <t>KDS-41-20-2022</t>
        </is>
      </c>
      <c r="K1178" s="20" t="inlineStr">
        <is>
          <t>DCREM</t>
        </is>
      </c>
      <c r="L1178" s="18">
        <f>_xlfn.TEXTJOIN("/",TRUE,H701,I701,J701,K701)</f>
        <v/>
      </c>
      <c r="M1178" s="18" t="n"/>
      <c r="N1178" s="18" t="inlineStr">
        <is>
          <t>done</t>
        </is>
      </c>
      <c r="O1178" s="18" t="n"/>
      <c r="P1178" s="18" t="n"/>
      <c r="Q1178" s="18" t="n"/>
      <c r="R1178" s="18" t="n"/>
      <c r="S1178" s="18" t="n"/>
      <c r="T1178" s="18" t="inlineStr">
        <is>
          <t>progress</t>
        </is>
      </c>
      <c r="U1178" s="18" t="inlineStr">
        <is>
          <t>기획</t>
        </is>
      </c>
      <c r="Z1178">
        <f>IF(OR(K701="",K701="TABLE"),"",
_xlfn.TEXTJOIN(", ",TRUE,
IF(E701&lt;&gt;"",E701&amp;K701,""),
IF(F701&lt;&gt;"",F701&amp;K701,""),
IF(G701&lt;&gt;"",G701&amp;K701,"")
))</f>
        <v/>
      </c>
      <c r="AA1178">
        <f>IF(K701="","",IF(K701="TABLE","",K701))</f>
        <v/>
      </c>
      <c r="AB1178">
        <f>IF(ISNUMBER(SEARCH("기존변경필요",SUBSTITUTE(TRIM(V701),CHAR(10)," "))),"",
IFERROR(
  _xlfn.XLOOKUP(AA701,'기존 end point'!B:B,'기존 end point'!B:B,,0),
""))</f>
        <v/>
      </c>
    </row>
    <row r="1179">
      <c r="C1179" t="inlineStr">
        <is>
          <t>RC Design</t>
        </is>
      </c>
      <c r="D1179" t="inlineStr">
        <is>
          <t>Design Input Data</t>
        </is>
      </c>
      <c r="E1179" t="inlineStr">
        <is>
          <t>Rebar Data</t>
        </is>
      </c>
      <c r="F1179" t="inlineStr">
        <is>
          <t>Rebar Exposure Condition</t>
        </is>
      </c>
      <c r="H1179" t="inlineStr">
        <is>
          <t>DESIGN</t>
        </is>
      </c>
      <c r="I1179" t="inlineStr">
        <is>
          <t>RC</t>
        </is>
      </c>
      <c r="J1179" t="inlineStr">
        <is>
          <t>KDS-41-20-2022</t>
        </is>
      </c>
      <c r="K1179">
        <f>_xlfn.XLOOKUP(F702,'PARAMETER 공통'!$B$4:$B$53,'PARAMETER 공통'!$D$4:$D$53,,0,1)</f>
        <v/>
      </c>
      <c r="L1179">
        <f>_xlfn.TEXTJOIN("/",TRUE,H702,I702,J702,K702)</f>
        <v/>
      </c>
      <c r="N1179" t="inlineStr">
        <is>
          <t>progress</t>
        </is>
      </c>
      <c r="T1179" t="inlineStr">
        <is>
          <t>progress</t>
        </is>
      </c>
      <c r="U1179" s="1" t="inlineStr">
        <is>
          <t>개발</t>
        </is>
      </c>
      <c r="Z1179">
        <f>IF(OR(K702="",K702="TABLE"),"",
_xlfn.TEXTJOIN(", ",TRUE,
IF(E702&lt;&gt;"",E702&amp;K702,""),
IF(F702&lt;&gt;"",F702&amp;K702,""),
IF(G702&lt;&gt;"",G702&amp;K702,"")
))</f>
        <v/>
      </c>
      <c r="AA1179">
        <f>IF(K702="","",IF(K702="TABLE","",K702))</f>
        <v/>
      </c>
      <c r="AB1179">
        <f>IF(ISNUMBER(SEARCH("기존변경필요",SUBSTITUTE(TRIM(V702),CHAR(10)," "))),"",
IFERROR(
  _xlfn.XLOOKUP(AA702,'기존 end point'!B:B,'기존 end point'!B:B,,0),
""))</f>
        <v/>
      </c>
    </row>
    <row r="1180">
      <c r="C1180" t="inlineStr">
        <is>
          <t>RC Design</t>
        </is>
      </c>
      <c r="D1180" t="inlineStr">
        <is>
          <t>Design Input Data</t>
        </is>
      </c>
      <c r="E1180" t="inlineStr">
        <is>
          <t>Rebar Data</t>
        </is>
      </c>
      <c r="F1180" t="inlineStr">
        <is>
          <t>Modify Beam Rebar Data</t>
        </is>
      </c>
      <c r="H1180" t="inlineStr">
        <is>
          <t>DESIGN</t>
        </is>
      </c>
      <c r="I1180" t="inlineStr">
        <is>
          <t>RC</t>
        </is>
      </c>
      <c r="J1180" t="inlineStr">
        <is>
          <t>KDS-41-20-2022</t>
        </is>
      </c>
      <c r="K1180">
        <f>_xlfn.XLOOKUP(F703,'PARAMETER 공통'!$B$4:$B$53,'PARAMETER 공통'!$D$4:$D$53,,0,1)</f>
        <v/>
      </c>
      <c r="L1180">
        <f>_xlfn.TEXTJOIN("/",TRUE,H703,I703,J703,K703)</f>
        <v/>
      </c>
      <c r="N1180" t="inlineStr">
        <is>
          <t>progress</t>
        </is>
      </c>
      <c r="T1180" t="inlineStr">
        <is>
          <t>progress</t>
        </is>
      </c>
      <c r="U1180" s="1" t="inlineStr">
        <is>
          <t>개발</t>
        </is>
      </c>
      <c r="V1180" t="inlineStr">
        <is>
          <t>MAPI-989</t>
        </is>
      </c>
      <c r="Z1180">
        <f>IF(OR(K703="",K703="TABLE"),"",
_xlfn.TEXTJOIN(", ",TRUE,
IF(E703&lt;&gt;"",E703&amp;K703,""),
IF(F703&lt;&gt;"",F703&amp;K703,""),
IF(G703&lt;&gt;"",G703&amp;K703,"")
))</f>
        <v/>
      </c>
      <c r="AA1180">
        <f>IF(K703="","",IF(K703="TABLE","",K703))</f>
        <v/>
      </c>
      <c r="AB1180">
        <f>IF(ISNUMBER(SEARCH("기존변경필요",SUBSTITUTE(TRIM(V703),CHAR(10)," "))),"",
IFERROR(
  _xlfn.XLOOKUP(AA703,'기존 end point'!B:B,'기존 end point'!B:B,,0),
""))</f>
        <v/>
      </c>
    </row>
    <row r="1181">
      <c r="C1181" t="inlineStr">
        <is>
          <t>RC Design</t>
        </is>
      </c>
      <c r="D1181" t="inlineStr">
        <is>
          <t>Design Input Data</t>
        </is>
      </c>
      <c r="E1181" t="inlineStr">
        <is>
          <t>Rebar Data</t>
        </is>
      </c>
      <c r="F1181" t="inlineStr">
        <is>
          <t>Modify Column Rebar Data</t>
        </is>
      </c>
      <c r="H1181" t="inlineStr">
        <is>
          <t>DESIGN</t>
        </is>
      </c>
      <c r="I1181" t="inlineStr">
        <is>
          <t>RC</t>
        </is>
      </c>
      <c r="J1181" t="inlineStr">
        <is>
          <t>KDS-41-20-2022</t>
        </is>
      </c>
      <c r="K1181">
        <f>_xlfn.XLOOKUP(F704,'PARAMETER 공통'!$B$4:$B$53,'PARAMETER 공통'!$D$4:$D$53,,0,1)</f>
        <v/>
      </c>
      <c r="L1181">
        <f>_xlfn.TEXTJOIN("/",TRUE,H704,I704,J704,K704)</f>
        <v/>
      </c>
      <c r="N1181" t="inlineStr">
        <is>
          <t>progress</t>
        </is>
      </c>
      <c r="T1181" t="inlineStr">
        <is>
          <t>progress</t>
        </is>
      </c>
      <c r="U1181" s="1" t="inlineStr">
        <is>
          <t>개발</t>
        </is>
      </c>
      <c r="V1181" t="inlineStr">
        <is>
          <t>MAPI-991</t>
        </is>
      </c>
      <c r="Z1181">
        <f>IF(OR(K704="",K704="TABLE"),"",
_xlfn.TEXTJOIN(", ",TRUE,
IF(E704&lt;&gt;"",E704&amp;K704,""),
IF(F704&lt;&gt;"",F704&amp;K704,""),
IF(G704&lt;&gt;"",G704&amp;K704,"")
))</f>
        <v/>
      </c>
      <c r="AA1181">
        <f>IF(K704="","",IF(K704="TABLE","",K704))</f>
        <v/>
      </c>
      <c r="AB1181">
        <f>IF(ISNUMBER(SEARCH("기존변경필요",SUBSTITUTE(TRIM(V704),CHAR(10)," "))),"",
IFERROR(
  _xlfn.XLOOKUP(AA704,'기존 end point'!B:B,'기존 end point'!B:B,,0),
""))</f>
        <v/>
      </c>
    </row>
    <row r="1182">
      <c r="C1182" t="inlineStr">
        <is>
          <t>RC Design</t>
        </is>
      </c>
      <c r="D1182" t="inlineStr">
        <is>
          <t>Design Input Data</t>
        </is>
      </c>
      <c r="E1182" t="inlineStr">
        <is>
          <t>Rebar Data</t>
        </is>
      </c>
      <c r="F1182" t="inlineStr">
        <is>
          <t>Modify Brace Rebar Data</t>
        </is>
      </c>
      <c r="H1182" t="inlineStr">
        <is>
          <t>DESIGN</t>
        </is>
      </c>
      <c r="I1182" t="inlineStr">
        <is>
          <t>RC</t>
        </is>
      </c>
      <c r="J1182" t="inlineStr">
        <is>
          <t>KDS-41-20-2022</t>
        </is>
      </c>
      <c r="K1182">
        <f>_xlfn.XLOOKUP(F705,'PARAMETER 공통'!$B$4:$B$53,'PARAMETER 공통'!$D$4:$D$53,,0,1)</f>
        <v/>
      </c>
      <c r="L1182">
        <f>_xlfn.TEXTJOIN("/",TRUE,H705,I705,J705,K705)</f>
        <v/>
      </c>
      <c r="N1182" t="inlineStr">
        <is>
          <t>progress</t>
        </is>
      </c>
      <c r="T1182" t="inlineStr">
        <is>
          <t>progress</t>
        </is>
      </c>
      <c r="U1182" s="1" t="inlineStr">
        <is>
          <t>개발</t>
        </is>
      </c>
      <c r="V1182" t="inlineStr">
        <is>
          <t>MAPI-992</t>
        </is>
      </c>
      <c r="Z1182">
        <f>IF(OR(K705="",K705="TABLE"),"",
_xlfn.TEXTJOIN(", ",TRUE,
IF(E705&lt;&gt;"",E705&amp;K705,""),
IF(F705&lt;&gt;"",F705&amp;K705,""),
IF(G705&lt;&gt;"",G705&amp;K705,"")
))</f>
        <v/>
      </c>
      <c r="AA1182">
        <f>IF(K705="","",IF(K705="TABLE","",K705))</f>
        <v/>
      </c>
      <c r="AB1182">
        <f>IF(ISNUMBER(SEARCH("기존변경필요",SUBSTITUTE(TRIM(V705),CHAR(10)," "))),"",
IFERROR(
  _xlfn.XLOOKUP(AA705,'기존 end point'!B:B,'기존 end point'!B:B,,0),
""))</f>
        <v/>
      </c>
    </row>
    <row r="1183">
      <c r="C1183" t="inlineStr">
        <is>
          <t>RC Design</t>
        </is>
      </c>
      <c r="D1183" t="inlineStr">
        <is>
          <t>Design Input Data</t>
        </is>
      </c>
      <c r="E1183" t="inlineStr">
        <is>
          <t>Rebar Data</t>
        </is>
      </c>
      <c r="F1183" t="inlineStr">
        <is>
          <t>Modify Wall Rebar Data</t>
        </is>
      </c>
      <c r="H1183" t="inlineStr">
        <is>
          <t>DESIGN</t>
        </is>
      </c>
      <c r="I1183" t="inlineStr">
        <is>
          <t>RC</t>
        </is>
      </c>
      <c r="J1183" t="inlineStr">
        <is>
          <t>KDS-41-20-2022</t>
        </is>
      </c>
      <c r="K1183">
        <f>_xlfn.XLOOKUP(F706,'PARAMETER 공통'!$B$4:$B$53,'PARAMETER 공통'!$D$4:$D$53,,0,1)</f>
        <v/>
      </c>
      <c r="L1183">
        <f>_xlfn.TEXTJOIN("/",TRUE,H706,I706,J706,K706)</f>
        <v/>
      </c>
      <c r="N1183" t="inlineStr">
        <is>
          <t>progress</t>
        </is>
      </c>
      <c r="T1183" t="inlineStr">
        <is>
          <t>progress</t>
        </is>
      </c>
      <c r="U1183" s="1" t="inlineStr">
        <is>
          <t>개발</t>
        </is>
      </c>
      <c r="V1183" t="inlineStr">
        <is>
          <t>MAPI-990</t>
        </is>
      </c>
      <c r="Z1183">
        <f>IF(OR(K706="",K706="TABLE"),"",
_xlfn.TEXTJOIN(", ",TRUE,
IF(E706&lt;&gt;"",E706&amp;K706,""),
IF(F706&lt;&gt;"",F706&amp;K706,""),
IF(G706&lt;&gt;"",G706&amp;K706,"")
))</f>
        <v/>
      </c>
      <c r="AA1183">
        <f>IF(K706="","",IF(K706="TABLE","",K706))</f>
        <v/>
      </c>
      <c r="AB1183">
        <f>IF(ISNUMBER(SEARCH("기존변경필요",SUBSTITUTE(TRIM(V706),CHAR(10)," "))),"",
IFERROR(
  _xlfn.XLOOKUP(AA706,'기존 end point'!B:B,'기존 end point'!B:B,,0),
""))</f>
        <v/>
      </c>
    </row>
    <row r="1184">
      <c r="C1184" t="inlineStr">
        <is>
          <t>RC Design</t>
        </is>
      </c>
      <c r="D1184" t="inlineStr">
        <is>
          <t>Design Input Data</t>
        </is>
      </c>
      <c r="E1184" t="inlineStr">
        <is>
          <t>Modify Concrete Material</t>
        </is>
      </c>
      <c r="H1184" t="inlineStr">
        <is>
          <t>DESIGN</t>
        </is>
      </c>
      <c r="I1184" t="inlineStr">
        <is>
          <t>RC</t>
        </is>
      </c>
      <c r="J1184" t="inlineStr">
        <is>
          <t>KDS-41-20-2022</t>
        </is>
      </c>
      <c r="K1184" s="17" t="inlineStr">
        <is>
          <t>MATD</t>
        </is>
      </c>
      <c r="L1184">
        <f>_xlfn.TEXTJOIN("/",TRUE,H707,I707,J707,K707)</f>
        <v/>
      </c>
      <c r="N1184" t="inlineStr">
        <is>
          <t>done</t>
        </is>
      </c>
      <c r="O1184" t="inlineStr">
        <is>
          <t>done</t>
        </is>
      </c>
      <c r="P1184" t="inlineStr">
        <is>
          <t>done</t>
        </is>
      </c>
      <c r="Q1184" t="inlineStr">
        <is>
          <t>done</t>
        </is>
      </c>
      <c r="R1184" t="inlineStr">
        <is>
          <t>done</t>
        </is>
      </c>
      <c r="S1184" t="inlineStr">
        <is>
          <t>warning</t>
        </is>
      </c>
      <c r="T1184" t="inlineStr">
        <is>
          <t>Done</t>
        </is>
      </c>
      <c r="U1184" t="inlineStr">
        <is>
          <t>Liam</t>
        </is>
      </c>
      <c r="V1184" t="inlineStr">
        <is>
          <t>기존변경필요 / 추가사항 확인 필요</t>
        </is>
      </c>
      <c r="Z1184">
        <f>IF(OR(K707="",K707="TABLE"),"",
_xlfn.TEXTJOIN(", ",TRUE,
IF(E707&lt;&gt;"",E707&amp;K707,""),
IF(F707&lt;&gt;"",F707&amp;K707,""),
IF(G707&lt;&gt;"",G707&amp;K707,"")
))</f>
        <v/>
      </c>
      <c r="AA1184">
        <f>IF(K707="","",IF(K707="TABLE","",K707))</f>
        <v/>
      </c>
      <c r="AB1184">
        <f>IF(ISNUMBER(SEARCH("기존변경필요",SUBSTITUTE(TRIM(V707),CHAR(10)," "))),"",
IFERROR(
  _xlfn.XLOOKUP(AA707,'기존 end point'!B:B,'기존 end point'!B:B,,0),
""))</f>
        <v/>
      </c>
    </row>
    <row r="1185">
      <c r="A1185" t="n">
        <v>707</v>
      </c>
      <c r="C1185" t="inlineStr">
        <is>
          <t>RC Design</t>
        </is>
      </c>
      <c r="D1185" s="6" t="inlineStr">
        <is>
          <t>Table</t>
        </is>
      </c>
      <c r="E1185" s="6" t="inlineStr">
        <is>
          <t>Parameter Tables</t>
        </is>
      </c>
      <c r="F1185" s="6" t="inlineStr">
        <is>
          <t>Unbraced Length (L, Lb)</t>
        </is>
      </c>
      <c r="G1185" s="6" t="n"/>
      <c r="H1185" s="6" t="inlineStr">
        <is>
          <t>DESIGN</t>
        </is>
      </c>
      <c r="I1185" s="6" t="inlineStr">
        <is>
          <t>RC</t>
        </is>
      </c>
      <c r="J1185" s="6" t="inlineStr">
        <is>
          <t>KDS-41-20-2022</t>
        </is>
      </c>
      <c r="K1185" s="6" t="n"/>
      <c r="L1185" s="6">
        <f>_xlfn.TEXTJOIN("/",TRUE,H708,I708,J708,K708)</f>
        <v/>
      </c>
      <c r="M1185" s="6" t="n"/>
      <c r="N1185" s="6" t="n"/>
      <c r="O1185" s="6" t="n"/>
      <c r="P1185" s="6" t="n"/>
      <c r="Q1185" s="6" t="n"/>
      <c r="R1185" s="6" t="n"/>
      <c r="S1185" s="6" t="n"/>
      <c r="T1185" s="9" t="inlineStr">
        <is>
          <t>cancel</t>
        </is>
      </c>
      <c r="U1185" s="6" t="n"/>
      <c r="V1185" s="6" t="inlineStr">
        <is>
          <t>(공통) GET 메서드에 동작</t>
        </is>
      </c>
      <c r="Z1185">
        <f>IF(OR(K708="",K708="TABLE"),"",
_xlfn.TEXTJOIN(", ",TRUE,
IF(E708&lt;&gt;"",E708&amp;K708,""),
IF(F708&lt;&gt;"",F708&amp;K708,""),
IF(G708&lt;&gt;"",G708&amp;K708,"")
))</f>
        <v/>
      </c>
      <c r="AA1185">
        <f>IF(K708="","",IF(K708="TABLE","",K708))</f>
        <v/>
      </c>
      <c r="AB1185">
        <f>IF(ISNUMBER(SEARCH("기존변경필요",SUBSTITUTE(TRIM(V708),CHAR(10)," "))),"",
IFERROR(
  _xlfn.XLOOKUP(AA708,'기존 end point'!B:B,'기존 end point'!B:B,,0),
""))</f>
        <v/>
      </c>
    </row>
    <row r="1186">
      <c r="A1186" t="n">
        <v>708</v>
      </c>
      <c r="C1186" t="inlineStr">
        <is>
          <t>RC Design</t>
        </is>
      </c>
      <c r="D1186" s="6" t="inlineStr">
        <is>
          <t>Table</t>
        </is>
      </c>
      <c r="E1186" s="6" t="inlineStr">
        <is>
          <t>Parameter Tables</t>
        </is>
      </c>
      <c r="F1186" s="6" t="inlineStr">
        <is>
          <t>Effective Length Factor (K)</t>
        </is>
      </c>
      <c r="G1186" s="6" t="n"/>
      <c r="H1186" s="6" t="inlineStr">
        <is>
          <t>DESIGN</t>
        </is>
      </c>
      <c r="I1186" s="6" t="inlineStr">
        <is>
          <t>RC</t>
        </is>
      </c>
      <c r="J1186" s="6" t="inlineStr">
        <is>
          <t>KDS-41-20-2022</t>
        </is>
      </c>
      <c r="K1186" s="6" t="n"/>
      <c r="L1186" s="6">
        <f>_xlfn.TEXTJOIN("/",TRUE,H709,I709,J709,K709)</f>
        <v/>
      </c>
      <c r="M1186" s="6" t="n"/>
      <c r="N1186" s="6" t="n"/>
      <c r="O1186" s="6" t="n"/>
      <c r="P1186" s="6" t="n"/>
      <c r="Q1186" s="6" t="n"/>
      <c r="R1186" s="6" t="n"/>
      <c r="S1186" s="6" t="n"/>
      <c r="T1186" s="9" t="inlineStr">
        <is>
          <t>cancel</t>
        </is>
      </c>
      <c r="U1186" s="6" t="n"/>
      <c r="V1186" s="6" t="inlineStr">
        <is>
          <t>(공통) GET 메서드에 동작</t>
        </is>
      </c>
      <c r="Z1186">
        <f>IF(OR(K709="",K709="TABLE"),"",
_xlfn.TEXTJOIN(", ",TRUE,
IF(E709&lt;&gt;"",E709&amp;K709,""),
IF(F709&lt;&gt;"",F709&amp;K709,""),
IF(G709&lt;&gt;"",G709&amp;K709,"")
))</f>
        <v/>
      </c>
      <c r="AA1186">
        <f>IF(K709="","",IF(K709="TABLE","",K709))</f>
        <v/>
      </c>
      <c r="AB1186">
        <f>IF(ISNUMBER(SEARCH("기존변경필요",SUBSTITUTE(TRIM(V709),CHAR(10)," "))),"",
IFERROR(
  _xlfn.XLOOKUP(AA709,'기존 end point'!B:B,'기존 end point'!B:B,,0),
""))</f>
        <v/>
      </c>
    </row>
    <row r="1187">
      <c r="A1187" t="n">
        <v>709</v>
      </c>
      <c r="C1187" t="inlineStr">
        <is>
          <t>RC Design</t>
        </is>
      </c>
      <c r="D1187" s="6" t="inlineStr">
        <is>
          <t>Table</t>
        </is>
      </c>
      <c r="E1187" s="6" t="inlineStr">
        <is>
          <t>Parameter Tables</t>
        </is>
      </c>
      <c r="F1187" s="6" t="inlineStr">
        <is>
          <t>Equivalent Moment Correction Factor(Cm)</t>
        </is>
      </c>
      <c r="G1187" s="6" t="n"/>
      <c r="H1187" s="6" t="inlineStr">
        <is>
          <t>DESIGN</t>
        </is>
      </c>
      <c r="I1187" s="6" t="inlineStr">
        <is>
          <t>RC</t>
        </is>
      </c>
      <c r="J1187" s="6" t="inlineStr">
        <is>
          <t>KDS-41-20-2022</t>
        </is>
      </c>
      <c r="K1187" s="6" t="n"/>
      <c r="L1187" s="6">
        <f>_xlfn.TEXTJOIN("/",TRUE,H710,I710,J710,K710)</f>
        <v/>
      </c>
      <c r="M1187" s="6" t="n"/>
      <c r="N1187" s="6" t="n"/>
      <c r="O1187" s="6" t="n"/>
      <c r="P1187" s="6" t="n"/>
      <c r="Q1187" s="6" t="n"/>
      <c r="R1187" s="6" t="n"/>
      <c r="S1187" s="6" t="n"/>
      <c r="T1187" s="9" t="inlineStr">
        <is>
          <t>cancel</t>
        </is>
      </c>
      <c r="U1187" s="6" t="n"/>
      <c r="V1187" s="6" t="inlineStr">
        <is>
          <t>(공통) GET 메서드에 동작</t>
        </is>
      </c>
      <c r="Z1187">
        <f>IF(OR(K710="",K710="TABLE"),"",
_xlfn.TEXTJOIN(", ",TRUE,
IF(E710&lt;&gt;"",E710&amp;K710,""),
IF(F710&lt;&gt;"",F710&amp;K710,""),
IF(G710&lt;&gt;"",G710&amp;K710,"")
))</f>
        <v/>
      </c>
      <c r="AA1187">
        <f>IF(K710="","",IF(K710="TABLE","",K710))</f>
        <v/>
      </c>
      <c r="AB1187">
        <f>IF(ISNUMBER(SEARCH("기존변경필요",SUBSTITUTE(TRIM(V710),CHAR(10)," "))),"",
IFERROR(
  _xlfn.XLOOKUP(AA710,'기존 end point'!B:B,'기존 end point'!B:B,,0),
""))</f>
        <v/>
      </c>
    </row>
    <row r="1188">
      <c r="A1188" t="n">
        <v>710</v>
      </c>
      <c r="C1188" t="inlineStr">
        <is>
          <t>RC Design</t>
        </is>
      </c>
      <c r="D1188" s="6" t="inlineStr">
        <is>
          <t>Table</t>
        </is>
      </c>
      <c r="E1188" s="6" t="inlineStr">
        <is>
          <t>Parameter Tables</t>
        </is>
      </c>
      <c r="F1188" s="6" t="inlineStr">
        <is>
          <t>Moment Magnifier(B1/Delta_b, B2/Delta_s)</t>
        </is>
      </c>
      <c r="G1188" s="6" t="n"/>
      <c r="H1188" s="6" t="inlineStr">
        <is>
          <t>DESIGN</t>
        </is>
      </c>
      <c r="I1188" s="6" t="inlineStr">
        <is>
          <t>RC</t>
        </is>
      </c>
      <c r="J1188" s="6" t="inlineStr">
        <is>
          <t>KDS-41-20-2022</t>
        </is>
      </c>
      <c r="K1188" s="6" t="n"/>
      <c r="L1188" s="6">
        <f>_xlfn.TEXTJOIN("/",TRUE,H711,I711,J711,K711)</f>
        <v/>
      </c>
      <c r="M1188" s="6" t="n"/>
      <c r="N1188" s="6" t="n"/>
      <c r="O1188" s="6" t="n"/>
      <c r="P1188" s="6" t="n"/>
      <c r="Q1188" s="6" t="n"/>
      <c r="R1188" s="6" t="n"/>
      <c r="S1188" s="6" t="n"/>
      <c r="T1188" s="9" t="inlineStr">
        <is>
          <t>cancel</t>
        </is>
      </c>
      <c r="U1188" s="6" t="n"/>
      <c r="V1188" s="6" t="inlineStr">
        <is>
          <t>(공통) GET 메서드에 동작</t>
        </is>
      </c>
      <c r="Z1188">
        <f>IF(OR(K711="",K711="TABLE"),"",
_xlfn.TEXTJOIN(", ",TRUE,
IF(E711&lt;&gt;"",E711&amp;K711,""),
IF(F711&lt;&gt;"",F711&amp;K711,""),
IF(G711&lt;&gt;"",G711&amp;K711,"")
))</f>
        <v/>
      </c>
      <c r="AA1188">
        <f>IF(K711="","",IF(K711="TABLE","",K711))</f>
        <v/>
      </c>
      <c r="AB1188">
        <f>IF(ISNUMBER(SEARCH("기존변경필요",SUBSTITUTE(TRIM(V711),CHAR(10)," "))),"",
IFERROR(
  _xlfn.XLOOKUP(AA711,'기존 end point'!B:B,'기존 end point'!B:B,,0),
""))</f>
        <v/>
      </c>
    </row>
    <row r="1189">
      <c r="A1189" t="n">
        <v>711</v>
      </c>
      <c r="C1189" t="inlineStr">
        <is>
          <t>RC Design</t>
        </is>
      </c>
      <c r="D1189" s="6" t="inlineStr">
        <is>
          <t>Table</t>
        </is>
      </c>
      <c r="E1189" s="6" t="inlineStr">
        <is>
          <t>Parameter Tables</t>
        </is>
      </c>
      <c r="F1189" s="6" t="inlineStr">
        <is>
          <t>Modify Live Load Reduction Factor</t>
        </is>
      </c>
      <c r="G1189" s="6" t="n"/>
      <c r="H1189" s="6" t="inlineStr">
        <is>
          <t>DESIGN</t>
        </is>
      </c>
      <c r="I1189" s="6" t="inlineStr">
        <is>
          <t>RC</t>
        </is>
      </c>
      <c r="J1189" s="6" t="inlineStr">
        <is>
          <t>KDS-41-20-2022</t>
        </is>
      </c>
      <c r="K1189" s="6" t="n"/>
      <c r="L1189" s="6">
        <f>_xlfn.TEXTJOIN("/",TRUE,H712,I712,J712,K712)</f>
        <v/>
      </c>
      <c r="M1189" s="6" t="n"/>
      <c r="N1189" s="6" t="n"/>
      <c r="O1189" s="6" t="n"/>
      <c r="P1189" s="6" t="n"/>
      <c r="Q1189" s="6" t="n"/>
      <c r="R1189" s="6" t="n"/>
      <c r="S1189" s="6" t="n"/>
      <c r="T1189" s="9" t="inlineStr">
        <is>
          <t>cancel</t>
        </is>
      </c>
      <c r="U1189" s="6" t="n"/>
      <c r="V1189" s="6" t="inlineStr">
        <is>
          <t>(공통) GET 메서드에 동작</t>
        </is>
      </c>
      <c r="Z1189">
        <f>IF(OR(K712="",K712="TABLE"),"",
_xlfn.TEXTJOIN(", ",TRUE,
IF(E712&lt;&gt;"",E712&amp;K712,""),
IF(F712&lt;&gt;"",F712&amp;K712,""),
IF(G712&lt;&gt;"",G712&amp;K712,"")
))</f>
        <v/>
      </c>
      <c r="AA1189">
        <f>IF(K712="","",IF(K712="TABLE","",K712))</f>
        <v/>
      </c>
      <c r="AB1189">
        <f>IF(ISNUMBER(SEARCH("기존변경필요",SUBSTITUTE(TRIM(V712),CHAR(10)," "))),"",
IFERROR(
  _xlfn.XLOOKUP(AA712,'기존 end point'!B:B,'기존 end point'!B:B,,0),
""))</f>
        <v/>
      </c>
    </row>
    <row r="1190">
      <c r="A1190" t="n">
        <v>712</v>
      </c>
      <c r="C1190" t="inlineStr">
        <is>
          <t>RC Design</t>
        </is>
      </c>
      <c r="D1190" s="6" t="inlineStr">
        <is>
          <t>Table</t>
        </is>
      </c>
      <c r="E1190" s="6" t="inlineStr">
        <is>
          <t>Parameter Tables</t>
        </is>
      </c>
      <c r="F1190" s="6" t="inlineStr">
        <is>
          <t>Scale up Factor for Earthquake</t>
        </is>
      </c>
      <c r="G1190" s="6" t="n"/>
      <c r="H1190" s="6" t="inlineStr">
        <is>
          <t>DESIGN</t>
        </is>
      </c>
      <c r="I1190" s="6" t="inlineStr">
        <is>
          <t>RC</t>
        </is>
      </c>
      <c r="J1190" s="6" t="inlineStr">
        <is>
          <t>KDS-41-20-2022</t>
        </is>
      </c>
      <c r="K1190" s="6" t="n"/>
      <c r="L1190" s="6">
        <f>_xlfn.TEXTJOIN("/",TRUE,H713,I713,J713,K713)</f>
        <v/>
      </c>
      <c r="M1190" s="6" t="n"/>
      <c r="N1190" s="6" t="n"/>
      <c r="O1190" s="6" t="n"/>
      <c r="P1190" s="6" t="n"/>
      <c r="Q1190" s="6" t="n"/>
      <c r="R1190" s="6" t="n"/>
      <c r="S1190" s="6" t="n"/>
      <c r="T1190" s="9" t="inlineStr">
        <is>
          <t>cancel</t>
        </is>
      </c>
      <c r="U1190" s="6" t="n"/>
      <c r="V1190" s="6" t="inlineStr">
        <is>
          <t>(공통) GET 메서드에 동작</t>
        </is>
      </c>
      <c r="Z1190">
        <f>IF(OR(K713="",K713="TABLE"),"",
_xlfn.TEXTJOIN(", ",TRUE,
IF(E713&lt;&gt;"",E713&amp;K713,""),
IF(F713&lt;&gt;"",F713&amp;K713,""),
IF(G713&lt;&gt;"",G713&amp;K713,"")
))</f>
        <v/>
      </c>
      <c r="AA1190">
        <f>IF(K713="","",IF(K713="TABLE","",K713))</f>
        <v/>
      </c>
      <c r="AB1190">
        <f>IF(ISNUMBER(SEARCH("기존변경필요",SUBSTITUTE(TRIM(V713),CHAR(10)," "))),"",
IFERROR(
  _xlfn.XLOOKUP(AA713,'기존 end point'!B:B,'기존 end point'!B:B,,0),
""))</f>
        <v/>
      </c>
    </row>
    <row r="1191">
      <c r="A1191" t="n">
        <v>713</v>
      </c>
      <c r="C1191" t="inlineStr">
        <is>
          <t>RC Design</t>
        </is>
      </c>
      <c r="D1191" s="6" t="inlineStr">
        <is>
          <t>Table</t>
        </is>
      </c>
      <c r="E1191" s="6" t="inlineStr">
        <is>
          <t>Parameter Tables</t>
        </is>
      </c>
      <c r="F1191" s="6" t="inlineStr">
        <is>
          <t>Earthquake-Resistant Grade</t>
        </is>
      </c>
      <c r="G1191" s="6" t="n"/>
      <c r="H1191" s="6" t="inlineStr">
        <is>
          <t>DESIGN</t>
        </is>
      </c>
      <c r="I1191" s="6" t="inlineStr">
        <is>
          <t>RC</t>
        </is>
      </c>
      <c r="J1191" s="6" t="inlineStr">
        <is>
          <t>KDS-41-20-2022</t>
        </is>
      </c>
      <c r="K1191" s="6" t="n"/>
      <c r="L1191" s="6">
        <f>_xlfn.TEXTJOIN("/",TRUE,H714,I714,J714,K714)</f>
        <v/>
      </c>
      <c r="M1191" s="6" t="n"/>
      <c r="N1191" s="6" t="n"/>
      <c r="O1191" s="6" t="n"/>
      <c r="P1191" s="6" t="n"/>
      <c r="Q1191" s="6" t="n"/>
      <c r="R1191" s="6" t="n"/>
      <c r="S1191" s="6" t="n"/>
      <c r="T1191" s="9" t="inlineStr">
        <is>
          <t>cancel</t>
        </is>
      </c>
      <c r="U1191" s="6" t="n"/>
      <c r="V1191" s="6" t="inlineStr">
        <is>
          <t>(공통) GET 메서드에 동작</t>
        </is>
      </c>
      <c r="Z1191">
        <f>IF(OR(K714="",K714="TABLE"),"",
_xlfn.TEXTJOIN(", ",TRUE,
IF(E714&lt;&gt;"",E714&amp;K714,""),
IF(F714&lt;&gt;"",F714&amp;K714,""),
IF(G714&lt;&gt;"",G714&amp;K714,"")
))</f>
        <v/>
      </c>
      <c r="AA1191">
        <f>IF(K714="","",IF(K714="TABLE","",K714))</f>
        <v/>
      </c>
      <c r="AB1191">
        <f>IF(ISNUMBER(SEARCH("기존변경필요",SUBSTITUTE(TRIM(V714),CHAR(10)," "))),"",
IFERROR(
  _xlfn.XLOOKUP(AA714,'기존 end point'!B:B,'기존 end point'!B:B,,0),
""))</f>
        <v/>
      </c>
    </row>
    <row r="1192">
      <c r="A1192" t="n">
        <v>714</v>
      </c>
      <c r="C1192" t="inlineStr">
        <is>
          <t>RC Design</t>
        </is>
      </c>
      <c r="D1192" s="6" t="inlineStr">
        <is>
          <t>Table</t>
        </is>
      </c>
      <c r="E1192" s="6" t="inlineStr">
        <is>
          <t>Parameter Tables</t>
        </is>
      </c>
      <c r="F1192" s="6" t="inlineStr">
        <is>
          <t>Modify Member Type</t>
        </is>
      </c>
      <c r="G1192" s="6" t="n"/>
      <c r="H1192" s="6" t="inlineStr">
        <is>
          <t>DESIGN</t>
        </is>
      </c>
      <c r="I1192" s="6" t="inlineStr">
        <is>
          <t>RC</t>
        </is>
      </c>
      <c r="J1192" s="6" t="inlineStr">
        <is>
          <t>KDS-41-20-2022</t>
        </is>
      </c>
      <c r="K1192" s="6" t="n"/>
      <c r="L1192" s="6">
        <f>_xlfn.TEXTJOIN("/",TRUE,H715,I715,J715,K715)</f>
        <v/>
      </c>
      <c r="M1192" s="6" t="n"/>
      <c r="N1192" s="6" t="n"/>
      <c r="O1192" s="6" t="n"/>
      <c r="P1192" s="6" t="n"/>
      <c r="Q1192" s="6" t="n"/>
      <c r="R1192" s="6" t="n"/>
      <c r="S1192" s="6" t="n"/>
      <c r="T1192" s="9" t="inlineStr">
        <is>
          <t>cancel</t>
        </is>
      </c>
      <c r="U1192" s="6" t="n"/>
      <c r="V1192" s="6" t="inlineStr">
        <is>
          <t>(공통) GET 메서드에 동작</t>
        </is>
      </c>
      <c r="Z1192">
        <f>IF(OR(K715="",K715="TABLE"),"",
_xlfn.TEXTJOIN(", ",TRUE,
IF(E715&lt;&gt;"",E715&amp;K715,""),
IF(F715&lt;&gt;"",F715&amp;K715,""),
IF(G715&lt;&gt;"",G715&amp;K715,"")
))</f>
        <v/>
      </c>
      <c r="AA1192">
        <f>IF(K715="","",IF(K715="TABLE","",K715))</f>
        <v/>
      </c>
      <c r="AB1192">
        <f>IF(ISNUMBER(SEARCH("기존변경필요",SUBSTITUTE(TRIM(V715),CHAR(10)," "))),"",
IFERROR(
  _xlfn.XLOOKUP(AA715,'기존 end point'!B:B,'기존 end point'!B:B,,0),
""))</f>
        <v/>
      </c>
    </row>
    <row r="1193">
      <c r="A1193" t="n">
        <v>715</v>
      </c>
      <c r="C1193" t="inlineStr">
        <is>
          <t>RC Design</t>
        </is>
      </c>
      <c r="D1193" s="6" t="inlineStr">
        <is>
          <t>Table</t>
        </is>
      </c>
      <c r="E1193" s="6" t="inlineStr">
        <is>
          <t>Parameter Tables</t>
        </is>
      </c>
      <c r="F1193" s="6" t="inlineStr">
        <is>
          <t>Seismic Load Combination Type</t>
        </is>
      </c>
      <c r="G1193" s="6" t="n"/>
      <c r="H1193" s="6" t="inlineStr">
        <is>
          <t>DESIGN</t>
        </is>
      </c>
      <c r="I1193" s="6" t="inlineStr">
        <is>
          <t>RC</t>
        </is>
      </c>
      <c r="J1193" s="6" t="inlineStr">
        <is>
          <t>KDS-41-20-2022</t>
        </is>
      </c>
      <c r="K1193" s="6" t="n"/>
      <c r="L1193" s="6">
        <f>_xlfn.TEXTJOIN("/",TRUE,H716,I716,J716,K716)</f>
        <v/>
      </c>
      <c r="M1193" s="6" t="n"/>
      <c r="N1193" s="6" t="n"/>
      <c r="O1193" s="6" t="n"/>
      <c r="P1193" s="6" t="n"/>
      <c r="Q1193" s="6" t="n"/>
      <c r="R1193" s="6" t="n"/>
      <c r="S1193" s="6" t="n"/>
      <c r="T1193" s="9" t="inlineStr">
        <is>
          <t>cancel</t>
        </is>
      </c>
      <c r="U1193" s="6" t="n"/>
      <c r="V1193" s="6" t="inlineStr">
        <is>
          <t>(공통) GET 메서드에 동작</t>
        </is>
      </c>
      <c r="Z1193">
        <f>IF(OR(K716="",K716="TABLE"),"",
_xlfn.TEXTJOIN(", ",TRUE,
IF(E716&lt;&gt;"",E716&amp;K716,""),
IF(F716&lt;&gt;"",F716&amp;K716,""),
IF(G716&lt;&gt;"",G716&amp;K716,"")
))</f>
        <v/>
      </c>
      <c r="AA1193">
        <f>IF(K716="","",IF(K716="TABLE","",K716))</f>
        <v/>
      </c>
      <c r="AB1193">
        <f>IF(ISNUMBER(SEARCH("기존변경필요",SUBSTITUTE(TRIM(V716),CHAR(10)," "))),"",
IFERROR(
  _xlfn.XLOOKUP(AA716,'기존 end point'!B:B,'기존 end point'!B:B,,0),
""))</f>
        <v/>
      </c>
    </row>
    <row r="1194">
      <c r="A1194" t="n">
        <v>716</v>
      </c>
      <c r="C1194" t="inlineStr">
        <is>
          <t>RC Design</t>
        </is>
      </c>
      <c r="D1194" s="6" t="inlineStr">
        <is>
          <t>Table</t>
        </is>
      </c>
      <c r="E1194" s="6" t="inlineStr">
        <is>
          <t>Parameter Tables</t>
        </is>
      </c>
      <c r="F1194" s="6" t="inlineStr">
        <is>
          <t>Seismic Design Type</t>
        </is>
      </c>
      <c r="G1194" s="6" t="n"/>
      <c r="H1194" s="6" t="inlineStr">
        <is>
          <t>DESIGN</t>
        </is>
      </c>
      <c r="I1194" s="6" t="inlineStr">
        <is>
          <t>RC</t>
        </is>
      </c>
      <c r="J1194" s="6" t="inlineStr">
        <is>
          <t>KDS-41-20-2022</t>
        </is>
      </c>
      <c r="K1194" s="6" t="n"/>
      <c r="L1194" s="6">
        <f>_xlfn.TEXTJOIN("/",TRUE,H717,I717,J717,K717)</f>
        <v/>
      </c>
      <c r="M1194" s="6" t="n"/>
      <c r="N1194" s="6" t="n"/>
      <c r="O1194" s="6" t="n"/>
      <c r="P1194" s="6" t="n"/>
      <c r="Q1194" s="6" t="n"/>
      <c r="R1194" s="6" t="n"/>
      <c r="S1194" s="6" t="n"/>
      <c r="T1194" s="9" t="inlineStr">
        <is>
          <t>cancel</t>
        </is>
      </c>
      <c r="U1194" s="6" t="n"/>
      <c r="V1194" s="6" t="inlineStr">
        <is>
          <t>(공통) GET 메서드에 동작</t>
        </is>
      </c>
      <c r="Z1194">
        <f>IF(OR(K717="",K717="TABLE"),"",
_xlfn.TEXTJOIN(", ",TRUE,
IF(E717&lt;&gt;"",E717&amp;K717,""),
IF(F717&lt;&gt;"",F717&amp;K717,""),
IF(G717&lt;&gt;"",G717&amp;K717,"")
))</f>
        <v/>
      </c>
      <c r="AA1194">
        <f>IF(K717="","",IF(K717="TABLE","",K717))</f>
        <v/>
      </c>
      <c r="AB1194">
        <f>IF(ISNUMBER(SEARCH("기존변경필요",SUBSTITUTE(TRIM(V717),CHAR(10)," "))),"",
IFERROR(
  _xlfn.XLOOKUP(AA717,'기존 end point'!B:B,'기존 end point'!B:B,,0),
""))</f>
        <v/>
      </c>
    </row>
    <row r="1195">
      <c r="A1195" t="n">
        <v>717</v>
      </c>
      <c r="C1195" t="inlineStr">
        <is>
          <t>RC Design</t>
        </is>
      </c>
      <c r="D1195" s="6" t="inlineStr">
        <is>
          <t>Table</t>
        </is>
      </c>
      <c r="E1195" s="6" t="inlineStr">
        <is>
          <t>Parameter Tables</t>
        </is>
      </c>
      <c r="F1195" s="6" t="inlineStr">
        <is>
          <t>Undergroung Load Combination Type</t>
        </is>
      </c>
      <c r="G1195" s="6" t="n"/>
      <c r="H1195" s="6" t="inlineStr">
        <is>
          <t>DESIGN</t>
        </is>
      </c>
      <c r="I1195" s="6" t="inlineStr">
        <is>
          <t>RC</t>
        </is>
      </c>
      <c r="J1195" s="6" t="inlineStr">
        <is>
          <t>KDS-41-20-2022</t>
        </is>
      </c>
      <c r="K1195" s="6" t="n"/>
      <c r="L1195" s="6">
        <f>_xlfn.TEXTJOIN("/",TRUE,H718,I718,J718,K718)</f>
        <v/>
      </c>
      <c r="M1195" s="6" t="n"/>
      <c r="N1195" s="6" t="n"/>
      <c r="O1195" s="6" t="n"/>
      <c r="P1195" s="6" t="n"/>
      <c r="Q1195" s="6" t="n"/>
      <c r="R1195" s="6" t="n"/>
      <c r="S1195" s="6" t="n"/>
      <c r="T1195" s="9" t="inlineStr">
        <is>
          <t>cancel</t>
        </is>
      </c>
      <c r="U1195" s="6" t="n"/>
      <c r="V1195" s="6" t="inlineStr">
        <is>
          <t>(공통) GET 메서드에 동작</t>
        </is>
      </c>
      <c r="Z1195">
        <f>IF(OR(K718="",K718="TABLE"),"",
_xlfn.TEXTJOIN(", ",TRUE,
IF(E718&lt;&gt;"",E718&amp;K718,""),
IF(F718&lt;&gt;"",F718&amp;K718,""),
IF(G718&lt;&gt;"",G718&amp;K718,"")
))</f>
        <v/>
      </c>
      <c r="AA1195">
        <f>IF(K718="","",IF(K718="TABLE","",K718))</f>
        <v/>
      </c>
      <c r="AB1195">
        <f>IF(ISNUMBER(SEARCH("기존변경필요",SUBSTITUTE(TRIM(V718),CHAR(10)," "))),"",
IFERROR(
  _xlfn.XLOOKUP(AA718,'기존 end point'!B:B,'기존 end point'!B:B,,0),
""))</f>
        <v/>
      </c>
    </row>
    <row r="1196">
      <c r="A1196" t="n">
        <v>718</v>
      </c>
      <c r="C1196" t="inlineStr">
        <is>
          <t>RC Design</t>
        </is>
      </c>
      <c r="D1196" s="6" t="inlineStr">
        <is>
          <t>Table</t>
        </is>
      </c>
      <c r="E1196" s="6" t="inlineStr">
        <is>
          <t>Parameter Tables</t>
        </is>
      </c>
      <c r="F1196" s="6" t="inlineStr">
        <is>
          <t>Moment Redistribution Factor</t>
        </is>
      </c>
      <c r="G1196" s="6" t="n"/>
      <c r="H1196" s="6" t="inlineStr">
        <is>
          <t>DESIGN</t>
        </is>
      </c>
      <c r="I1196" s="6" t="inlineStr">
        <is>
          <t>RC</t>
        </is>
      </c>
      <c r="J1196" s="6" t="inlineStr">
        <is>
          <t>KDS-41-20-2022</t>
        </is>
      </c>
      <c r="K1196" s="6" t="n"/>
      <c r="L1196" s="6">
        <f>_xlfn.TEXTJOIN("/",TRUE,H719,I719,J719,K719)</f>
        <v/>
      </c>
      <c r="M1196" s="6" t="n"/>
      <c r="N1196" s="6" t="n"/>
      <c r="O1196" s="6" t="n"/>
      <c r="P1196" s="6" t="n"/>
      <c r="Q1196" s="6" t="n"/>
      <c r="R1196" s="6" t="n"/>
      <c r="S1196" s="6" t="n"/>
      <c r="T1196" s="9" t="inlineStr">
        <is>
          <t>cancel</t>
        </is>
      </c>
      <c r="U1196" s="6" t="n"/>
      <c r="V1196" s="6" t="inlineStr">
        <is>
          <t>(공통) GET 메서드에 동작</t>
        </is>
      </c>
      <c r="Z1196">
        <f>IF(OR(K719="",K719="TABLE"),"",
_xlfn.TEXTJOIN(", ",TRUE,
IF(E719&lt;&gt;"",E719&amp;K719,""),
IF(F719&lt;&gt;"",F719&amp;K719,""),
IF(G719&lt;&gt;"",G719&amp;K719,"")
))</f>
        <v/>
      </c>
      <c r="AA1196">
        <f>IF(K719="","",IF(K719="TABLE","",K719))</f>
        <v/>
      </c>
      <c r="AB1196">
        <f>IF(ISNUMBER(SEARCH("기존변경필요",SUBSTITUTE(TRIM(V719),CHAR(10)," "))),"",
IFERROR(
  _xlfn.XLOOKUP(AA719,'기존 end point'!B:B,'기존 end point'!B:B,,0),
""))</f>
        <v/>
      </c>
    </row>
    <row r="1197">
      <c r="A1197" t="n">
        <v>719</v>
      </c>
      <c r="C1197" t="inlineStr">
        <is>
          <t>RC Design</t>
        </is>
      </c>
      <c r="D1197" s="6" t="inlineStr">
        <is>
          <t>Table</t>
        </is>
      </c>
      <c r="E1197" s="6" t="inlineStr">
        <is>
          <t>Parameter Tables</t>
        </is>
      </c>
      <c r="F1197" s="6" t="inlineStr">
        <is>
          <t>Torsion Reduction Factor</t>
        </is>
      </c>
      <c r="G1197" s="6" t="n"/>
      <c r="H1197" s="6" t="inlineStr">
        <is>
          <t>DESIGN</t>
        </is>
      </c>
      <c r="I1197" s="6" t="inlineStr">
        <is>
          <t>RC</t>
        </is>
      </c>
      <c r="J1197" s="6" t="inlineStr">
        <is>
          <t>KDS-41-20-2022</t>
        </is>
      </c>
      <c r="K1197" s="6" t="n"/>
      <c r="L1197" s="6">
        <f>_xlfn.TEXTJOIN("/",TRUE,H720,I720,J720,K720)</f>
        <v/>
      </c>
      <c r="M1197" s="6" t="n"/>
      <c r="N1197" s="6" t="n"/>
      <c r="O1197" s="6" t="n"/>
      <c r="P1197" s="6" t="n"/>
      <c r="Q1197" s="6" t="n"/>
      <c r="R1197" s="6" t="n"/>
      <c r="S1197" s="6" t="n"/>
      <c r="T1197" s="9" t="inlineStr">
        <is>
          <t>cancel</t>
        </is>
      </c>
      <c r="U1197" s="6" t="n"/>
      <c r="V1197" s="6" t="inlineStr">
        <is>
          <t>(공통) GET 메서드에 동작</t>
        </is>
      </c>
      <c r="Z1197">
        <f>IF(OR(K720="",K720="TABLE"),"",
_xlfn.TEXTJOIN(", ",TRUE,
IF(E720&lt;&gt;"",E720&amp;K720,""),
IF(F720&lt;&gt;"",F720&amp;K720,""),
IF(G720&lt;&gt;"",G720&amp;K720,"")
))</f>
        <v/>
      </c>
      <c r="AA1197">
        <f>IF(K720="","",IF(K720="TABLE","",K720))</f>
        <v/>
      </c>
      <c r="AB1197">
        <f>IF(ISNUMBER(SEARCH("기존변경필요",SUBSTITUTE(TRIM(V720),CHAR(10)," "))),"",
IFERROR(
  _xlfn.XLOOKUP(AA720,'기존 end point'!B:B,'기존 end point'!B:B,,0),
""))</f>
        <v/>
      </c>
    </row>
    <row r="1198">
      <c r="A1198" t="n">
        <v>720</v>
      </c>
      <c r="C1198" t="inlineStr">
        <is>
          <t>RC Design</t>
        </is>
      </c>
      <c r="D1198" s="6" t="inlineStr">
        <is>
          <t>Table</t>
        </is>
      </c>
      <c r="E1198" s="6" t="inlineStr">
        <is>
          <t>Parameter Tables</t>
        </is>
      </c>
      <c r="F1198" s="6" t="inlineStr">
        <is>
          <t>Serviceavility Prarmeters</t>
        </is>
      </c>
      <c r="G1198" s="6" t="n"/>
      <c r="H1198" s="6" t="inlineStr">
        <is>
          <t>DESIGN</t>
        </is>
      </c>
      <c r="I1198" s="6" t="inlineStr">
        <is>
          <t>RC</t>
        </is>
      </c>
      <c r="J1198" s="6" t="inlineStr">
        <is>
          <t>KDS-41-20-2022</t>
        </is>
      </c>
      <c r="K1198" s="6" t="n"/>
      <c r="L1198" s="6">
        <f>_xlfn.TEXTJOIN("/",TRUE,H721,I721,J721,K721)</f>
        <v/>
      </c>
      <c r="M1198" s="6" t="n"/>
      <c r="N1198" s="6" t="n"/>
      <c r="O1198" s="6" t="n"/>
      <c r="P1198" s="6" t="n"/>
      <c r="Q1198" s="6" t="n"/>
      <c r="R1198" s="6" t="n"/>
      <c r="S1198" s="6" t="n"/>
      <c r="T1198" s="9" t="inlineStr">
        <is>
          <t>cancel</t>
        </is>
      </c>
      <c r="U1198" s="6" t="n"/>
      <c r="V1198" s="6" t="inlineStr">
        <is>
          <t>(공통) GET 메서드에 동작</t>
        </is>
      </c>
      <c r="Z1198">
        <f>IF(OR(K721="",K721="TABLE"),"",
_xlfn.TEXTJOIN(", ",TRUE,
IF(E721&lt;&gt;"",E721&amp;K721,""),
IF(F721&lt;&gt;"",F721&amp;K721,""),
IF(G721&lt;&gt;"",G721&amp;K721,"")
))</f>
        <v/>
      </c>
      <c r="AA1198">
        <f>IF(K721="","",IF(K721="TABLE","",K721))</f>
        <v/>
      </c>
      <c r="AB1198">
        <f>IF(ISNUMBER(SEARCH("기존변경필요",SUBSTITUTE(TRIM(V721),CHAR(10)," "))),"",
IFERROR(
  _xlfn.XLOOKUP(AA721,'기존 end point'!B:B,'기존 end point'!B:B,,0),
""))</f>
        <v/>
      </c>
    </row>
    <row r="1199">
      <c r="A1199" t="n">
        <v>721</v>
      </c>
      <c r="C1199" t="inlineStr">
        <is>
          <t>RC Design</t>
        </is>
      </c>
      <c r="D1199" s="6" t="inlineStr">
        <is>
          <t>Table</t>
        </is>
      </c>
      <c r="E1199" s="6" t="inlineStr">
        <is>
          <t>Parameter Tables</t>
        </is>
      </c>
      <c r="F1199" s="6" t="inlineStr">
        <is>
          <t>Uncertainty Load Combination Factor</t>
        </is>
      </c>
      <c r="G1199" s="6" t="n"/>
      <c r="H1199" s="6" t="inlineStr">
        <is>
          <t>DESIGN</t>
        </is>
      </c>
      <c r="I1199" s="6" t="inlineStr">
        <is>
          <t>RC</t>
        </is>
      </c>
      <c r="J1199" s="6" t="inlineStr">
        <is>
          <t>KDS-41-20-2022</t>
        </is>
      </c>
      <c r="K1199" s="6" t="n"/>
      <c r="L1199" s="6">
        <f>_xlfn.TEXTJOIN("/",TRUE,H722,I722,J722,K722)</f>
        <v/>
      </c>
      <c r="M1199" s="6" t="n"/>
      <c r="N1199" s="6" t="n"/>
      <c r="O1199" s="6" t="n"/>
      <c r="P1199" s="6" t="n"/>
      <c r="Q1199" s="6" t="n"/>
      <c r="R1199" s="6" t="n"/>
      <c r="S1199" s="6" t="n"/>
      <c r="T1199" s="9" t="inlineStr">
        <is>
          <t>cancel</t>
        </is>
      </c>
      <c r="U1199" s="6" t="n"/>
      <c r="V1199" s="6" t="inlineStr">
        <is>
          <t>(공통) GET 메서드에 동작</t>
        </is>
      </c>
      <c r="Z1199">
        <f>IF(OR(K722="",K722="TABLE"),"",
_xlfn.TEXTJOIN(", ",TRUE,
IF(E722&lt;&gt;"",E722&amp;K722,""),
IF(F722&lt;&gt;"",F722&amp;K722,""),
IF(G722&lt;&gt;"",G722&amp;K722,"")
))</f>
        <v/>
      </c>
      <c r="AA1199">
        <f>IF(K722="","",IF(K722="TABLE","",K722))</f>
        <v/>
      </c>
      <c r="AB1199">
        <f>IF(ISNUMBER(SEARCH("기존변경필요",SUBSTITUTE(TRIM(V722),CHAR(10)," "))),"",
IFERROR(
  _xlfn.XLOOKUP(AA722,'기존 end point'!B:B,'기존 end point'!B:B,,0),
""))</f>
        <v/>
      </c>
    </row>
    <row r="1200">
      <c r="A1200" t="n">
        <v>722</v>
      </c>
      <c r="C1200" t="inlineStr">
        <is>
          <t>RC Design</t>
        </is>
      </c>
      <c r="D1200" s="6" t="inlineStr">
        <is>
          <t>Table</t>
        </is>
      </c>
      <c r="E1200" s="6" t="inlineStr">
        <is>
          <t>Parameter Tables</t>
        </is>
      </c>
      <c r="F1200" s="6" t="inlineStr">
        <is>
          <t>Modify Member Strut Angle</t>
        </is>
      </c>
      <c r="G1200" s="6" t="n"/>
      <c r="H1200" s="6" t="inlineStr">
        <is>
          <t>DESIGN</t>
        </is>
      </c>
      <c r="I1200" s="6" t="inlineStr">
        <is>
          <t>RC</t>
        </is>
      </c>
      <c r="J1200" s="6" t="inlineStr">
        <is>
          <t>KDS-41-20-2022</t>
        </is>
      </c>
      <c r="K1200" s="6" t="n"/>
      <c r="L1200" s="6">
        <f>_xlfn.TEXTJOIN("/",TRUE,H723,I723,J723,K723)</f>
        <v/>
      </c>
      <c r="M1200" s="6" t="n"/>
      <c r="N1200" s="6" t="n"/>
      <c r="O1200" s="6" t="n"/>
      <c r="P1200" s="6" t="n"/>
      <c r="Q1200" s="6" t="n"/>
      <c r="R1200" s="6" t="n"/>
      <c r="S1200" s="6" t="n"/>
      <c r="T1200" s="9" t="inlineStr">
        <is>
          <t>cancel</t>
        </is>
      </c>
      <c r="U1200" s="6" t="n"/>
      <c r="V1200" s="6" t="inlineStr">
        <is>
          <t>(공통) GET 메서드에 동작</t>
        </is>
      </c>
      <c r="Z1200">
        <f>IF(OR(K723="",K723="TABLE"),"",
_xlfn.TEXTJOIN(", ",TRUE,
IF(E723&lt;&gt;"",E723&amp;K723,""),
IF(F723&lt;&gt;"",F723&amp;K723,""),
IF(G723&lt;&gt;"",G723&amp;K723,"")
))</f>
        <v/>
      </c>
      <c r="AA1200">
        <f>IF(K723="","",IF(K723="TABLE","",K723))</f>
        <v/>
      </c>
      <c r="AB1200">
        <f>IF(ISNUMBER(SEARCH("기존변경필요",SUBSTITUTE(TRIM(V723),CHAR(10)," "))),"",
IFERROR(
  _xlfn.XLOOKUP(AA723,'기존 end point'!B:B,'기존 end point'!B:B,,0),
""))</f>
        <v/>
      </c>
    </row>
    <row r="1201">
      <c r="A1201" t="n">
        <v>723</v>
      </c>
      <c r="C1201" t="inlineStr">
        <is>
          <t>RC Design</t>
        </is>
      </c>
      <c r="D1201" s="6" t="inlineStr">
        <is>
          <t>Table</t>
        </is>
      </c>
      <c r="E1201" s="6" t="inlineStr">
        <is>
          <t>Parameter Tables</t>
        </is>
      </c>
      <c r="F1201" s="6" t="inlineStr">
        <is>
          <t>Moment Calculation Method for Beam</t>
        </is>
      </c>
      <c r="G1201" s="6" t="n"/>
      <c r="H1201" s="6" t="inlineStr">
        <is>
          <t>DESIGN</t>
        </is>
      </c>
      <c r="I1201" s="6" t="inlineStr">
        <is>
          <t>RC</t>
        </is>
      </c>
      <c r="J1201" s="6" t="inlineStr">
        <is>
          <t>KDS-41-20-2022</t>
        </is>
      </c>
      <c r="K1201" s="6" t="n"/>
      <c r="L1201" s="6">
        <f>_xlfn.TEXTJOIN("/",TRUE,H724,I724,J724,K724)</f>
        <v/>
      </c>
      <c r="M1201" s="6" t="n"/>
      <c r="N1201" s="6" t="n"/>
      <c r="O1201" s="6" t="n"/>
      <c r="P1201" s="6" t="n"/>
      <c r="Q1201" s="6" t="n"/>
      <c r="R1201" s="6" t="n"/>
      <c r="S1201" s="6" t="n"/>
      <c r="T1201" s="9" t="inlineStr">
        <is>
          <t>cancel</t>
        </is>
      </c>
      <c r="U1201" s="6" t="n"/>
      <c r="V1201" s="6" t="inlineStr">
        <is>
          <t>(공통) GET 메서드에 동작</t>
        </is>
      </c>
      <c r="Z1201">
        <f>IF(OR(K724="",K724="TABLE"),"",
_xlfn.TEXTJOIN(", ",TRUE,
IF(E724&lt;&gt;"",E724&amp;K724,""),
IF(F724&lt;&gt;"",F724&amp;K724,""),
IF(G724&lt;&gt;"",G724&amp;K724,"")
))</f>
        <v/>
      </c>
      <c r="AA1201">
        <f>IF(K724="","",IF(K724="TABLE","",K724))</f>
        <v/>
      </c>
      <c r="AB1201">
        <f>IF(ISNUMBER(SEARCH("기존변경필요",SUBSTITUTE(TRIM(V724),CHAR(10)," "))),"",
IFERROR(
  _xlfn.XLOOKUP(AA724,'기존 end point'!B:B,'기존 end point'!B:B,,0),
""))</f>
        <v/>
      </c>
    </row>
    <row r="1202">
      <c r="A1202" t="n">
        <v>724</v>
      </c>
      <c r="C1202" t="inlineStr">
        <is>
          <t>RC Design</t>
        </is>
      </c>
      <c r="D1202" s="6" t="inlineStr">
        <is>
          <t>Table</t>
        </is>
      </c>
      <c r="E1202" s="6" t="inlineStr">
        <is>
          <t>Parameter Tables</t>
        </is>
      </c>
      <c r="F1202" s="6" t="inlineStr">
        <is>
          <t>Design Force for Beam Assigned as Member</t>
        </is>
      </c>
      <c r="G1202" s="6" t="n"/>
      <c r="H1202" s="6" t="inlineStr">
        <is>
          <t>DESIGN</t>
        </is>
      </c>
      <c r="I1202" s="6" t="inlineStr">
        <is>
          <t>RC</t>
        </is>
      </c>
      <c r="J1202" s="6" t="inlineStr">
        <is>
          <t>KDS-41-20-2022</t>
        </is>
      </c>
      <c r="K1202" s="6" t="n"/>
      <c r="L1202" s="6">
        <f>_xlfn.TEXTJOIN("/",TRUE,H725,I725,J725,K725)</f>
        <v/>
      </c>
      <c r="M1202" s="6" t="n"/>
      <c r="N1202" s="6" t="n"/>
      <c r="O1202" s="6" t="n"/>
      <c r="P1202" s="6" t="n"/>
      <c r="Q1202" s="6" t="n"/>
      <c r="R1202" s="6" t="n"/>
      <c r="S1202" s="6" t="n"/>
      <c r="T1202" s="9" t="inlineStr">
        <is>
          <t>cancel</t>
        </is>
      </c>
      <c r="U1202" s="6" t="n"/>
      <c r="V1202" s="6" t="inlineStr">
        <is>
          <t>(공통) GET 메서드에 동작</t>
        </is>
      </c>
      <c r="Z1202">
        <f>IF(OR(K725="",K725="TABLE"),"",
_xlfn.TEXTJOIN(", ",TRUE,
IF(E725&lt;&gt;"",E725&amp;K725,""),
IF(F725&lt;&gt;"",F725&amp;K725,""),
IF(G725&lt;&gt;"",G725&amp;K725,"")
))</f>
        <v/>
      </c>
      <c r="AA1202">
        <f>IF(K725="","",IF(K725="TABLE","",K725))</f>
        <v/>
      </c>
      <c r="AB1202">
        <f>IF(ISNUMBER(SEARCH("기존변경필요",SUBSTITUTE(TRIM(V725),CHAR(10)," "))),"",
IFERROR(
  _xlfn.XLOOKUP(AA725,'기존 end point'!B:B,'기존 end point'!B:B,,0),
""))</f>
        <v/>
      </c>
    </row>
    <row r="1203">
      <c r="A1203" t="n">
        <v>725</v>
      </c>
      <c r="C1203" t="inlineStr">
        <is>
          <t>RC Design</t>
        </is>
      </c>
      <c r="D1203" s="6" t="inlineStr">
        <is>
          <t>Table</t>
        </is>
      </c>
      <c r="E1203" s="6" t="inlineStr">
        <is>
          <t>Parameter Tables</t>
        </is>
      </c>
      <c r="F1203" s="6" t="inlineStr">
        <is>
          <t>P-M Curve Calculation Method</t>
        </is>
      </c>
      <c r="G1203" s="6" t="n"/>
      <c r="H1203" s="6" t="inlineStr">
        <is>
          <t>DESIGN</t>
        </is>
      </c>
      <c r="I1203" s="6" t="inlineStr">
        <is>
          <t>RC</t>
        </is>
      </c>
      <c r="J1203" s="6" t="inlineStr">
        <is>
          <t>KDS-41-20-2022</t>
        </is>
      </c>
      <c r="K1203" s="6" t="n"/>
      <c r="L1203" s="6">
        <f>_xlfn.TEXTJOIN("/",TRUE,H726,I726,J726,K726)</f>
        <v/>
      </c>
      <c r="M1203" s="6" t="n"/>
      <c r="N1203" s="6" t="n"/>
      <c r="O1203" s="6" t="n"/>
      <c r="P1203" s="6" t="n"/>
      <c r="Q1203" s="6" t="n"/>
      <c r="R1203" s="6" t="n"/>
      <c r="S1203" s="6" t="n"/>
      <c r="T1203" s="9" t="inlineStr">
        <is>
          <t>cancel</t>
        </is>
      </c>
      <c r="U1203" s="6" t="n"/>
      <c r="V1203" s="6" t="inlineStr">
        <is>
          <t>(공통) GET 메서드에 동작</t>
        </is>
      </c>
      <c r="Z1203">
        <f>IF(OR(K726="",K726="TABLE"),"",
_xlfn.TEXTJOIN(", ",TRUE,
IF(E726&lt;&gt;"",E726&amp;K726,""),
IF(F726&lt;&gt;"",F726&amp;K726,""),
IF(G726&lt;&gt;"",G726&amp;K726,"")
))</f>
        <v/>
      </c>
      <c r="AA1203">
        <f>IF(K726="","",IF(K726="TABLE","",K726))</f>
        <v/>
      </c>
      <c r="AB1203">
        <f>IF(ISNUMBER(SEARCH("기존변경필요",SUBSTITUTE(TRIM(V726),CHAR(10)," "))),"",
IFERROR(
  _xlfn.XLOOKUP(AA726,'기존 end point'!B:B,'기존 end point'!B:B,,0),
""))</f>
        <v/>
      </c>
    </row>
    <row r="1204">
      <c r="A1204" t="n">
        <v>726</v>
      </c>
      <c r="C1204" t="inlineStr">
        <is>
          <t>RC Design</t>
        </is>
      </c>
      <c r="D1204" s="6" t="inlineStr">
        <is>
          <t>Table</t>
        </is>
      </c>
      <c r="E1204" s="6" t="inlineStr">
        <is>
          <t>Parameter Tables</t>
        </is>
      </c>
      <c r="F1204" s="6" t="inlineStr">
        <is>
          <t>Seismic Column Type</t>
        </is>
      </c>
      <c r="G1204" s="6" t="n"/>
      <c r="H1204" s="6" t="inlineStr">
        <is>
          <t>DESIGN</t>
        </is>
      </c>
      <c r="I1204" s="6" t="inlineStr">
        <is>
          <t>RC</t>
        </is>
      </c>
      <c r="J1204" s="6" t="inlineStr">
        <is>
          <t>KDS-41-20-2022</t>
        </is>
      </c>
      <c r="K1204" s="6" t="n"/>
      <c r="L1204" s="6">
        <f>_xlfn.TEXTJOIN("/",TRUE,H727,I727,J727,K727)</f>
        <v/>
      </c>
      <c r="M1204" s="6" t="n"/>
      <c r="N1204" s="6" t="n"/>
      <c r="O1204" s="6" t="n"/>
      <c r="P1204" s="6" t="n"/>
      <c r="Q1204" s="6" t="n"/>
      <c r="R1204" s="6" t="n"/>
      <c r="S1204" s="6" t="n"/>
      <c r="T1204" s="9" t="inlineStr">
        <is>
          <t>cancel</t>
        </is>
      </c>
      <c r="U1204" s="6" t="n"/>
      <c r="V1204" s="6" t="inlineStr">
        <is>
          <t>(공통) GET 메서드에 동작</t>
        </is>
      </c>
      <c r="Z1204">
        <f>IF(OR(K727="",K727="TABLE"),"",
_xlfn.TEXTJOIN(", ",TRUE,
IF(E727&lt;&gt;"",E727&amp;K727,""),
IF(F727&lt;&gt;"",F727&amp;K727,""),
IF(G727&lt;&gt;"",G727&amp;K727,"")
))</f>
        <v/>
      </c>
      <c r="AA1204">
        <f>IF(K727="","",IF(K727="TABLE","",K727))</f>
        <v/>
      </c>
      <c r="AB1204">
        <f>IF(ISNUMBER(SEARCH("기존변경필요",SUBSTITUTE(TRIM(V727),CHAR(10)," "))),"",
IFERROR(
  _xlfn.XLOOKUP(AA727,'기존 end point'!B:B,'기존 end point'!B:B,,0),
""))</f>
        <v/>
      </c>
    </row>
    <row r="1205">
      <c r="A1205" t="n">
        <v>727</v>
      </c>
      <c r="C1205" t="inlineStr">
        <is>
          <t>RC Design</t>
        </is>
      </c>
      <c r="D1205" s="6" t="inlineStr">
        <is>
          <t>Table</t>
        </is>
      </c>
      <c r="E1205" s="6" t="inlineStr">
        <is>
          <t>Parameter Tables</t>
        </is>
      </c>
      <c r="F1205" s="6" t="inlineStr">
        <is>
          <t>Modify Jacking Stresses</t>
        </is>
      </c>
      <c r="G1205" s="6" t="n"/>
      <c r="H1205" s="6" t="inlineStr">
        <is>
          <t>DESIGN</t>
        </is>
      </c>
      <c r="I1205" s="6" t="inlineStr">
        <is>
          <t>RC</t>
        </is>
      </c>
      <c r="J1205" s="6" t="inlineStr">
        <is>
          <t>KDS-41-20-2022</t>
        </is>
      </c>
      <c r="K1205" s="23" t="n"/>
      <c r="L1205" s="6">
        <f>_xlfn.TEXTJOIN("/",TRUE,H728,I728,J728,K728)</f>
        <v/>
      </c>
      <c r="M1205" s="6" t="n"/>
      <c r="N1205" s="6" t="n"/>
      <c r="O1205" s="6" t="n"/>
      <c r="P1205" s="6" t="n"/>
      <c r="Q1205" s="6" t="n"/>
      <c r="R1205" s="6" t="n"/>
      <c r="S1205" s="6" t="n"/>
      <c r="T1205" s="9" t="inlineStr">
        <is>
          <t>cancel</t>
        </is>
      </c>
      <c r="U1205" s="6" t="n"/>
      <c r="V1205" s="6" t="inlineStr">
        <is>
          <t>(공통) GET 메서드에 동작</t>
        </is>
      </c>
      <c r="Z1205">
        <f>IF(OR(K728="",K728="TABLE"),"",
_xlfn.TEXTJOIN(", ",TRUE,
IF(E728&lt;&gt;"",E728&amp;K728,""),
IF(F728&lt;&gt;"",F728&amp;K728,""),
IF(G728&lt;&gt;"",G728&amp;K728,"")
))</f>
        <v/>
      </c>
      <c r="AA1205">
        <f>IF(K728="","",IF(K728="TABLE","",K728))</f>
        <v/>
      </c>
      <c r="AB1205">
        <f>IF(ISNUMBER(SEARCH("기존변경필요",SUBSTITUTE(TRIM(V728),CHAR(10)," "))),"",
IFERROR(
  _xlfn.XLOOKUP(AA728,'기존 end point'!B:B,'기존 end point'!B:B,,0),
""))</f>
        <v/>
      </c>
    </row>
    <row r="1206">
      <c r="A1206" t="n">
        <v>728</v>
      </c>
      <c r="C1206" t="inlineStr">
        <is>
          <t>RC Design</t>
        </is>
      </c>
      <c r="D1206" s="6" t="inlineStr">
        <is>
          <t>Table</t>
        </is>
      </c>
      <c r="E1206" s="6" t="inlineStr">
        <is>
          <t>Parameter Tables</t>
        </is>
      </c>
      <c r="F1206" s="6" t="inlineStr">
        <is>
          <t>Specify Prestress Allowable Stresses</t>
        </is>
      </c>
      <c r="G1206" s="6" t="n"/>
      <c r="H1206" s="6" t="inlineStr">
        <is>
          <t>DESIGN</t>
        </is>
      </c>
      <c r="I1206" s="6" t="inlineStr">
        <is>
          <t>RC</t>
        </is>
      </c>
      <c r="J1206" s="6" t="inlineStr">
        <is>
          <t>KDS-41-20-2022</t>
        </is>
      </c>
      <c r="K1206" s="23" t="n"/>
      <c r="L1206" s="6">
        <f>_xlfn.TEXTJOIN("/",TRUE,H729,I729,J729,K729)</f>
        <v/>
      </c>
      <c r="M1206" s="6" t="n"/>
      <c r="N1206" s="6" t="n"/>
      <c r="O1206" s="6" t="n"/>
      <c r="P1206" s="6" t="n"/>
      <c r="Q1206" s="6" t="n"/>
      <c r="R1206" s="6" t="n"/>
      <c r="S1206" s="6" t="n"/>
      <c r="T1206" s="9" t="inlineStr">
        <is>
          <t>cancel</t>
        </is>
      </c>
      <c r="U1206" s="6" t="n"/>
      <c r="V1206" s="6" t="inlineStr">
        <is>
          <t>(공통) GET 메서드에 동작</t>
        </is>
      </c>
      <c r="Z1206">
        <f>IF(OR(K729="",K729="TABLE"),"",
_xlfn.TEXTJOIN(", ",TRUE,
IF(E729&lt;&gt;"",E729&amp;K729,""),
IF(F729&lt;&gt;"",F729&amp;K729,""),
IF(G729&lt;&gt;"",G729&amp;K729,"")
))</f>
        <v/>
      </c>
      <c r="AA1206">
        <f>IF(K729="","",IF(K729="TABLE","",K729))</f>
        <v/>
      </c>
      <c r="AB1206">
        <f>IF(ISNUMBER(SEARCH("기존변경필요",SUBSTITUTE(TRIM(V729),CHAR(10)," "))),"",
IFERROR(
  _xlfn.XLOOKUP(AA729,'기존 end point'!B:B,'기존 end point'!B:B,,0),
""))</f>
        <v/>
      </c>
    </row>
    <row r="1207">
      <c r="A1207" t="n">
        <v>729</v>
      </c>
      <c r="C1207" t="inlineStr">
        <is>
          <t>RC Design</t>
        </is>
      </c>
      <c r="D1207" s="6" t="inlineStr">
        <is>
          <t>Table</t>
        </is>
      </c>
      <c r="E1207" s="6" t="inlineStr">
        <is>
          <t>Parameter Tables</t>
        </is>
      </c>
      <c r="F1207" s="6" t="inlineStr">
        <is>
          <t>Boundary Element Method by Wall ID</t>
        </is>
      </c>
      <c r="G1207" s="6" t="n"/>
      <c r="H1207" s="6" t="inlineStr">
        <is>
          <t>DESIGN</t>
        </is>
      </c>
      <c r="I1207" s="6" t="inlineStr">
        <is>
          <t>RC</t>
        </is>
      </c>
      <c r="J1207" s="6" t="inlineStr">
        <is>
          <t>KDS-41-20-2022</t>
        </is>
      </c>
      <c r="K1207" s="23" t="n"/>
      <c r="L1207" s="6">
        <f>_xlfn.TEXTJOIN("/",TRUE,H730,I730,J730,K730)</f>
        <v/>
      </c>
      <c r="M1207" s="6" t="n"/>
      <c r="N1207" s="6" t="n"/>
      <c r="O1207" s="6" t="n"/>
      <c r="P1207" s="6" t="n"/>
      <c r="Q1207" s="6" t="n"/>
      <c r="R1207" s="6" t="n"/>
      <c r="S1207" s="6" t="n"/>
      <c r="T1207" s="9" t="inlineStr">
        <is>
          <t>cancel</t>
        </is>
      </c>
      <c r="U1207" s="6" t="n"/>
      <c r="V1207" s="6" t="inlineStr">
        <is>
          <t>(공통) GET 메서드에 동작</t>
        </is>
      </c>
      <c r="Z1207">
        <f>IF(OR(K730="",K730="TABLE"),"",
_xlfn.TEXTJOIN(", ",TRUE,
IF(E730&lt;&gt;"",E730&amp;K730,""),
IF(F730&lt;&gt;"",F730&amp;K730,""),
IF(G730&lt;&gt;"",G730&amp;K730,"")
))</f>
        <v/>
      </c>
      <c r="AA1207">
        <f>IF(K730="","",IF(K730="TABLE","",K730))</f>
        <v/>
      </c>
      <c r="AB1207">
        <f>IF(ISNUMBER(SEARCH("기존변경필요",SUBSTITUTE(TRIM(V730),CHAR(10)," "))),"",
IFERROR(
  _xlfn.XLOOKUP(AA730,'기존 end point'!B:B,'기존 end point'!B:B,,0),
""))</f>
        <v/>
      </c>
    </row>
    <row r="1208">
      <c r="A1208" t="n">
        <v>730</v>
      </c>
      <c r="C1208" t="inlineStr">
        <is>
          <t>RC Design</t>
        </is>
      </c>
      <c r="D1208" s="6" t="inlineStr">
        <is>
          <t>Table</t>
        </is>
      </c>
      <c r="E1208" s="6" t="inlineStr">
        <is>
          <t>Rebar Data Tables</t>
        </is>
      </c>
      <c r="F1208" s="6" t="inlineStr">
        <is>
          <t>Design Criteria for Rebars by Member</t>
        </is>
      </c>
      <c r="G1208" s="6" t="n"/>
      <c r="H1208" s="6" t="inlineStr">
        <is>
          <t>DESIGN</t>
        </is>
      </c>
      <c r="I1208" s="6" t="inlineStr">
        <is>
          <t>RC</t>
        </is>
      </c>
      <c r="J1208" s="6" t="inlineStr">
        <is>
          <t>KDS-41-20-2022</t>
        </is>
      </c>
      <c r="K1208" s="6" t="n"/>
      <c r="L1208" s="6">
        <f>_xlfn.TEXTJOIN("/",TRUE,H731,I731,J731,K731)</f>
        <v/>
      </c>
      <c r="M1208" s="6" t="n"/>
      <c r="N1208" s="6" t="n"/>
      <c r="O1208" s="6" t="n"/>
      <c r="P1208" s="6" t="n"/>
      <c r="Q1208" s="6" t="n"/>
      <c r="R1208" s="6" t="n"/>
      <c r="S1208" s="6" t="n"/>
      <c r="T1208" s="9" t="inlineStr">
        <is>
          <t>cancel</t>
        </is>
      </c>
      <c r="U1208" s="6" t="n"/>
      <c r="V1208" s="6" t="inlineStr">
        <is>
          <t>(공통) GET 메서드에 동작</t>
        </is>
      </c>
      <c r="Z1208">
        <f>IF(OR(K731="",K731="TABLE"),"",
_xlfn.TEXTJOIN(", ",TRUE,
IF(E731&lt;&gt;"",E731&amp;K731,""),
IF(F731&lt;&gt;"",F731&amp;K731,""),
IF(G731&lt;&gt;"",G731&amp;K731,"")
))</f>
        <v/>
      </c>
      <c r="AA1208">
        <f>IF(K731="","",IF(K731="TABLE","",K731))</f>
        <v/>
      </c>
      <c r="AB1208">
        <f>IF(ISNUMBER(SEARCH("기존변경필요",SUBSTITUTE(TRIM(V731),CHAR(10)," "))),"",
IFERROR(
  _xlfn.XLOOKUP(AA731,'기존 end point'!B:B,'기존 end point'!B:B,,0),
""))</f>
        <v/>
      </c>
    </row>
    <row r="1209">
      <c r="A1209" t="n">
        <v>731</v>
      </c>
      <c r="C1209" t="inlineStr">
        <is>
          <t>RC Design</t>
        </is>
      </c>
      <c r="D1209" s="6" t="inlineStr">
        <is>
          <t>Table</t>
        </is>
      </c>
      <c r="E1209" s="6" t="inlineStr">
        <is>
          <t>Rebar Data Tables</t>
        </is>
      </c>
      <c r="F1209" s="6" t="inlineStr">
        <is>
          <t>Rebar Exposure Condition</t>
        </is>
      </c>
      <c r="G1209" s="6" t="n"/>
      <c r="H1209" s="6" t="inlineStr">
        <is>
          <t>DESIGN</t>
        </is>
      </c>
      <c r="I1209" s="6" t="inlineStr">
        <is>
          <t>RC</t>
        </is>
      </c>
      <c r="J1209" s="6" t="inlineStr">
        <is>
          <t>KDS-41-20-2022</t>
        </is>
      </c>
      <c r="K1209" s="6" t="n"/>
      <c r="L1209" s="6">
        <f>_xlfn.TEXTJOIN("/",TRUE,H732,I732,J732,K732)</f>
        <v/>
      </c>
      <c r="M1209" s="6" t="n"/>
      <c r="N1209" s="6" t="n"/>
      <c r="O1209" s="6" t="n"/>
      <c r="P1209" s="6" t="n"/>
      <c r="Q1209" s="6" t="n"/>
      <c r="R1209" s="6" t="n"/>
      <c r="S1209" s="6" t="n"/>
      <c r="T1209" s="9" t="inlineStr">
        <is>
          <t>cancel</t>
        </is>
      </c>
      <c r="U1209" s="6" t="n"/>
      <c r="V1209" s="6" t="inlineStr">
        <is>
          <t>(공통) GET 메서드에 동작</t>
        </is>
      </c>
      <c r="Z1209">
        <f>IF(OR(K732="",K732="TABLE"),"",
_xlfn.TEXTJOIN(", ",TRUE,
IF(E732&lt;&gt;"",E732&amp;K732,""),
IF(F732&lt;&gt;"",F732&amp;K732,""),
IF(G732&lt;&gt;"",G732&amp;K732,"")
))</f>
        <v/>
      </c>
      <c r="AA1209">
        <f>IF(K732="","",IF(K732="TABLE","",K732))</f>
        <v/>
      </c>
      <c r="AB1209">
        <f>IF(ISNUMBER(SEARCH("기존변경필요",SUBSTITUTE(TRIM(V732),CHAR(10)," "))),"",
IFERROR(
  _xlfn.XLOOKUP(AA732,'기존 end point'!B:B,'기존 end point'!B:B,,0),
""))</f>
        <v/>
      </c>
    </row>
    <row r="1210">
      <c r="A1210" t="n">
        <v>732</v>
      </c>
      <c r="C1210" t="inlineStr">
        <is>
          <t>RC Design</t>
        </is>
      </c>
      <c r="D1210" s="6" t="inlineStr">
        <is>
          <t>Table</t>
        </is>
      </c>
      <c r="E1210" s="6" t="inlineStr">
        <is>
          <t>Rebar Data Tables</t>
        </is>
      </c>
      <c r="F1210" s="6" t="inlineStr">
        <is>
          <t>Modify Beam Rebar Data</t>
        </is>
      </c>
      <c r="G1210" s="6" t="n"/>
      <c r="H1210" s="6" t="inlineStr">
        <is>
          <t>DESIGN</t>
        </is>
      </c>
      <c r="I1210" s="6" t="inlineStr">
        <is>
          <t>RC</t>
        </is>
      </c>
      <c r="J1210" s="6" t="inlineStr">
        <is>
          <t>KDS-41-20-2022</t>
        </is>
      </c>
      <c r="K1210" s="6" t="n"/>
      <c r="L1210" s="6">
        <f>_xlfn.TEXTJOIN("/",TRUE,H733,I733,J733,K733)</f>
        <v/>
      </c>
      <c r="M1210" s="6" t="n"/>
      <c r="N1210" s="6" t="n"/>
      <c r="O1210" s="6" t="n"/>
      <c r="P1210" s="6" t="n"/>
      <c r="Q1210" s="6" t="n"/>
      <c r="R1210" s="6" t="n"/>
      <c r="S1210" s="6" t="n"/>
      <c r="T1210" s="9" t="inlineStr">
        <is>
          <t>cancel</t>
        </is>
      </c>
      <c r="U1210" s="6" t="n"/>
      <c r="V1210" s="6" t="inlineStr">
        <is>
          <t>(공통) GET 메서드에 동작</t>
        </is>
      </c>
      <c r="Z1210">
        <f>IF(OR(K733="",K733="TABLE"),"",
_xlfn.TEXTJOIN(", ",TRUE,
IF(E733&lt;&gt;"",E733&amp;K733,""),
IF(F733&lt;&gt;"",F733&amp;K733,""),
IF(G733&lt;&gt;"",G733&amp;K733,"")
))</f>
        <v/>
      </c>
      <c r="AA1210">
        <f>IF(K733="","",IF(K733="TABLE","",K733))</f>
        <v/>
      </c>
      <c r="AB1210">
        <f>IF(ISNUMBER(SEARCH("기존변경필요",SUBSTITUTE(TRIM(V733),CHAR(10)," "))),"",
IFERROR(
  _xlfn.XLOOKUP(AA733,'기존 end point'!B:B,'기존 end point'!B:B,,0),
""))</f>
        <v/>
      </c>
    </row>
    <row r="1211">
      <c r="A1211" t="n">
        <v>733</v>
      </c>
      <c r="C1211" t="inlineStr">
        <is>
          <t>RC Design</t>
        </is>
      </c>
      <c r="D1211" s="6" t="inlineStr">
        <is>
          <t>Table</t>
        </is>
      </c>
      <c r="E1211" s="6" t="inlineStr">
        <is>
          <t>Rebar Data Tables</t>
        </is>
      </c>
      <c r="F1211" s="6" t="inlineStr">
        <is>
          <t>Modify Column Rebar Data</t>
        </is>
      </c>
      <c r="G1211" s="6" t="n"/>
      <c r="H1211" s="6" t="inlineStr">
        <is>
          <t>DESIGN</t>
        </is>
      </c>
      <c r="I1211" s="6" t="inlineStr">
        <is>
          <t>RC</t>
        </is>
      </c>
      <c r="J1211" s="6" t="inlineStr">
        <is>
          <t>KDS-41-20-2022</t>
        </is>
      </c>
      <c r="K1211" s="6" t="n"/>
      <c r="L1211" s="6">
        <f>_xlfn.TEXTJOIN("/",TRUE,H734,I734,J734,K734)</f>
        <v/>
      </c>
      <c r="M1211" s="6" t="n"/>
      <c r="N1211" s="6" t="n"/>
      <c r="O1211" s="6" t="n"/>
      <c r="P1211" s="6" t="n"/>
      <c r="Q1211" s="6" t="n"/>
      <c r="R1211" s="6" t="n"/>
      <c r="S1211" s="6" t="n"/>
      <c r="T1211" s="9" t="inlineStr">
        <is>
          <t>cancel</t>
        </is>
      </c>
      <c r="U1211" s="6" t="n"/>
      <c r="V1211" s="6" t="inlineStr">
        <is>
          <t>(공통) GET 메서드에 동작</t>
        </is>
      </c>
      <c r="Z1211">
        <f>IF(OR(K734="",K734="TABLE"),"",
_xlfn.TEXTJOIN(", ",TRUE,
IF(E734&lt;&gt;"",E734&amp;K734,""),
IF(F734&lt;&gt;"",F734&amp;K734,""),
IF(G734&lt;&gt;"",G734&amp;K734,"")
))</f>
        <v/>
      </c>
      <c r="AA1211">
        <f>IF(K734="","",IF(K734="TABLE","",K734))</f>
        <v/>
      </c>
      <c r="AB1211">
        <f>IF(ISNUMBER(SEARCH("기존변경필요",SUBSTITUTE(TRIM(V734),CHAR(10)," "))),"",
IFERROR(
  _xlfn.XLOOKUP(AA734,'기존 end point'!B:B,'기존 end point'!B:B,,0),
""))</f>
        <v/>
      </c>
    </row>
    <row r="1212">
      <c r="A1212" t="n">
        <v>734</v>
      </c>
      <c r="C1212" t="inlineStr">
        <is>
          <t>RC Design</t>
        </is>
      </c>
      <c r="D1212" s="6" t="inlineStr">
        <is>
          <t>Table</t>
        </is>
      </c>
      <c r="E1212" s="6" t="inlineStr">
        <is>
          <t>Rebar Data Tables</t>
        </is>
      </c>
      <c r="F1212" s="6" t="inlineStr">
        <is>
          <t>Modify Brace Rebar Data</t>
        </is>
      </c>
      <c r="G1212" s="6" t="n"/>
      <c r="H1212" s="6" t="inlineStr">
        <is>
          <t>DESIGN</t>
        </is>
      </c>
      <c r="I1212" s="6" t="inlineStr">
        <is>
          <t>RC</t>
        </is>
      </c>
      <c r="J1212" s="6" t="inlineStr">
        <is>
          <t>KDS-41-20-2022</t>
        </is>
      </c>
      <c r="K1212" s="6" t="n"/>
      <c r="L1212" s="6">
        <f>_xlfn.TEXTJOIN("/",TRUE,H735,I735,J735,K735)</f>
        <v/>
      </c>
      <c r="M1212" s="6" t="n"/>
      <c r="N1212" s="6" t="n"/>
      <c r="O1212" s="6" t="n"/>
      <c r="P1212" s="6" t="n"/>
      <c r="Q1212" s="6" t="n"/>
      <c r="R1212" s="6" t="n"/>
      <c r="S1212" s="6" t="n"/>
      <c r="T1212" s="9" t="inlineStr">
        <is>
          <t>cancel</t>
        </is>
      </c>
      <c r="U1212" s="6" t="n"/>
      <c r="V1212" s="6" t="inlineStr">
        <is>
          <t>(공통) GET 메서드에 동작</t>
        </is>
      </c>
      <c r="Z1212">
        <f>IF(OR(K735="",K735="TABLE"),"",
_xlfn.TEXTJOIN(", ",TRUE,
IF(E735&lt;&gt;"",E735&amp;K735,""),
IF(F735&lt;&gt;"",F735&amp;K735,""),
IF(G735&lt;&gt;"",G735&amp;K735,"")
))</f>
        <v/>
      </c>
      <c r="AA1212">
        <f>IF(K735="","",IF(K735="TABLE","",K735))</f>
        <v/>
      </c>
      <c r="AB1212">
        <f>IF(ISNUMBER(SEARCH("기존변경필요",SUBSTITUTE(TRIM(V735),CHAR(10)," "))),"",
IFERROR(
  _xlfn.XLOOKUP(AA735,'기존 end point'!B:B,'기존 end point'!B:B,,0),
""))</f>
        <v/>
      </c>
    </row>
    <row r="1213">
      <c r="A1213" t="n">
        <v>735</v>
      </c>
      <c r="C1213" t="inlineStr">
        <is>
          <t>RC Design</t>
        </is>
      </c>
      <c r="D1213" s="6" t="inlineStr">
        <is>
          <t>Table</t>
        </is>
      </c>
      <c r="E1213" s="6" t="inlineStr">
        <is>
          <t>Rebar Data Tables</t>
        </is>
      </c>
      <c r="F1213" s="6" t="inlineStr">
        <is>
          <t>Modify Wall Rebar Data</t>
        </is>
      </c>
      <c r="G1213" s="6" t="n"/>
      <c r="H1213" s="6" t="inlineStr">
        <is>
          <t>DESIGN</t>
        </is>
      </c>
      <c r="I1213" s="6" t="inlineStr">
        <is>
          <t>RC</t>
        </is>
      </c>
      <c r="J1213" s="6" t="inlineStr">
        <is>
          <t>KDS-41-20-2022</t>
        </is>
      </c>
      <c r="K1213" s="6" t="n"/>
      <c r="L1213" s="6">
        <f>_xlfn.TEXTJOIN("/",TRUE,H736,I736,J736,K736)</f>
        <v/>
      </c>
      <c r="M1213" s="6" t="n"/>
      <c r="N1213" s="6" t="n"/>
      <c r="O1213" s="6" t="n"/>
      <c r="P1213" s="6" t="n"/>
      <c r="Q1213" s="6" t="n"/>
      <c r="R1213" s="6" t="n"/>
      <c r="S1213" s="6" t="n"/>
      <c r="T1213" s="9" t="inlineStr">
        <is>
          <t>cancel</t>
        </is>
      </c>
      <c r="U1213" s="6" t="n"/>
      <c r="V1213" s="6" t="inlineStr">
        <is>
          <t>(공통) GET 메서드에 동작</t>
        </is>
      </c>
      <c r="Z1213">
        <f>IF(OR(K736="",K736="TABLE"),"",
_xlfn.TEXTJOIN(", ",TRUE,
IF(E736&lt;&gt;"",E736&amp;K736,""),
IF(F736&lt;&gt;"",F736&amp;K736,""),
IF(G736&lt;&gt;"",G736&amp;K736,"")
))</f>
        <v/>
      </c>
      <c r="AA1213">
        <f>IF(K736="","",IF(K736="TABLE","",K736))</f>
        <v/>
      </c>
      <c r="AB1213">
        <f>IF(ISNUMBER(SEARCH("기존변경필요",SUBSTITUTE(TRIM(V736),CHAR(10)," "))),"",
IFERROR(
  _xlfn.XLOOKUP(AA736,'기존 end point'!B:B,'기존 end point'!B:B,,0),
""))</f>
        <v/>
      </c>
    </row>
    <row r="1214">
      <c r="C1214" t="inlineStr">
        <is>
          <t>RC Design</t>
        </is>
      </c>
      <c r="D1214" t="inlineStr">
        <is>
          <t>Perform</t>
        </is>
      </c>
      <c r="E1214" t="inlineStr">
        <is>
          <t>Concrete Code Design</t>
        </is>
      </c>
      <c r="F1214" t="inlineStr">
        <is>
          <t>Beam Design</t>
        </is>
      </c>
      <c r="H1214" t="inlineStr">
        <is>
          <t>DESIGN</t>
        </is>
      </c>
      <c r="I1214" t="inlineStr">
        <is>
          <t>RC</t>
        </is>
      </c>
      <c r="J1214" t="inlineStr">
        <is>
          <t>KDS-41-20-2022</t>
        </is>
      </c>
      <c r="K1214" s="17" t="inlineStr">
        <is>
          <t>BD-ANAL</t>
        </is>
      </c>
      <c r="L1214">
        <f>_xlfn.TEXTJOIN("/",TRUE,H737,I737,J737,K737)</f>
        <v/>
      </c>
      <c r="N1214" s="18" t="inlineStr">
        <is>
          <t>done</t>
        </is>
      </c>
      <c r="T1214" t="inlineStr">
        <is>
          <t>progress</t>
        </is>
      </c>
      <c r="U1214" t="inlineStr">
        <is>
          <t>기획</t>
        </is>
      </c>
      <c r="V1214" t="inlineStr">
        <is>
          <t>제품 내 공통 데이터 보고 기획 필요</t>
        </is>
      </c>
      <c r="Z1214">
        <f>IF(OR(K737="",K737="TABLE"),"",
_xlfn.TEXTJOIN(", ",TRUE,
IF(E737&lt;&gt;"",E737&amp;K737,""),
IF(F737&lt;&gt;"",F737&amp;K737,""),
IF(G737&lt;&gt;"",G737&amp;K737,"")
))</f>
        <v/>
      </c>
      <c r="AA1214">
        <f>IF(K737="","",IF(K737="TABLE","",K737))</f>
        <v/>
      </c>
      <c r="AB1214">
        <f>IF(ISNUMBER(SEARCH("기존변경필요",SUBSTITUTE(TRIM(V737),CHAR(10)," "))),"",
IFERROR(
  _xlfn.XLOOKUP(AA737,'기존 end point'!B:B,'기존 end point'!B:B,,0),
""))</f>
        <v/>
      </c>
    </row>
    <row r="1215">
      <c r="H1215" t="inlineStr">
        <is>
          <t>DESIGN</t>
        </is>
      </c>
      <c r="I1215" t="inlineStr">
        <is>
          <t>RC</t>
        </is>
      </c>
      <c r="J1215" t="inlineStr">
        <is>
          <t>KDS-41-20-2022</t>
        </is>
      </c>
      <c r="K1215" s="17" t="inlineStr">
        <is>
          <t>BD-TABLE</t>
        </is>
      </c>
      <c r="L1215">
        <f>_xlfn.TEXTJOIN("/",TRUE,H738,I738,J738,K738)</f>
        <v/>
      </c>
      <c r="N1215" s="18" t="inlineStr">
        <is>
          <t>done</t>
        </is>
      </c>
      <c r="T1215" t="inlineStr">
        <is>
          <t>progress</t>
        </is>
      </c>
      <c r="U1215" t="inlineStr">
        <is>
          <t>기획</t>
        </is>
      </c>
    </row>
    <row r="1216">
      <c r="H1216" t="inlineStr">
        <is>
          <t>DESIGN</t>
        </is>
      </c>
      <c r="I1216" t="inlineStr">
        <is>
          <t>RC</t>
        </is>
      </c>
      <c r="J1216" t="inlineStr">
        <is>
          <t>KDS-41-20-2022</t>
        </is>
      </c>
      <c r="K1216" s="17" t="inlineStr">
        <is>
          <t>BD-REPORT</t>
        </is>
      </c>
      <c r="L1216">
        <f>_xlfn.TEXTJOIN("/",TRUE,H739,I739,J739,K739)</f>
        <v/>
      </c>
      <c r="N1216" s="18" t="inlineStr">
        <is>
          <t>done</t>
        </is>
      </c>
      <c r="T1216" t="inlineStr">
        <is>
          <t>progress</t>
        </is>
      </c>
      <c r="U1216" t="inlineStr">
        <is>
          <t>기획</t>
        </is>
      </c>
    </row>
    <row r="1217">
      <c r="C1217" t="inlineStr">
        <is>
          <t>RC Design</t>
        </is>
      </c>
      <c r="D1217" t="inlineStr">
        <is>
          <t>Perform</t>
        </is>
      </c>
      <c r="E1217" t="inlineStr">
        <is>
          <t>Concrete Code Design</t>
        </is>
      </c>
      <c r="F1217" t="inlineStr">
        <is>
          <t>Column Design</t>
        </is>
      </c>
      <c r="H1217" t="inlineStr">
        <is>
          <t>DESIGN</t>
        </is>
      </c>
      <c r="I1217" t="inlineStr">
        <is>
          <t>RC</t>
        </is>
      </c>
      <c r="J1217" t="inlineStr">
        <is>
          <t>KDS-41-20-2022</t>
        </is>
      </c>
      <c r="K1217" s="17" t="inlineStr">
        <is>
          <t>CD-ANAL</t>
        </is>
      </c>
      <c r="L1217">
        <f>_xlfn.TEXTJOIN("/",TRUE,H740,I740,J740,K740)</f>
        <v/>
      </c>
      <c r="N1217" s="18" t="inlineStr">
        <is>
          <t>done</t>
        </is>
      </c>
      <c r="T1217" t="inlineStr">
        <is>
          <t>progress</t>
        </is>
      </c>
      <c r="U1217" t="inlineStr">
        <is>
          <t>기획</t>
        </is>
      </c>
      <c r="V1217" t="inlineStr">
        <is>
          <t>제품 내 공통 데이터 보고 기획 필요</t>
        </is>
      </c>
      <c r="Z1217">
        <f>IF(OR(K740="",K740="TABLE"),"",
_xlfn.TEXTJOIN(", ",TRUE,
IF(E740&lt;&gt;"",E740&amp;K740,""),
IF(F740&lt;&gt;"",F740&amp;K740,""),
IF(G740&lt;&gt;"",G740&amp;K740,"")
))</f>
        <v/>
      </c>
      <c r="AA1217">
        <f>IF(K740="","",IF(K740="TABLE","",K740))</f>
        <v/>
      </c>
      <c r="AB1217">
        <f>IF(ISNUMBER(SEARCH("기존변경필요",SUBSTITUTE(TRIM(V740),CHAR(10)," "))),"",
IFERROR(
  _xlfn.XLOOKUP(AA740,'기존 end point'!B:B,'기존 end point'!B:B,,0),
""))</f>
        <v/>
      </c>
    </row>
    <row r="1218">
      <c r="H1218" t="inlineStr">
        <is>
          <t>DESIGN</t>
        </is>
      </c>
      <c r="I1218" t="inlineStr">
        <is>
          <t>RC</t>
        </is>
      </c>
      <c r="J1218" t="inlineStr">
        <is>
          <t>KDS-41-20-2022</t>
        </is>
      </c>
      <c r="K1218" s="17" t="inlineStr">
        <is>
          <t>CD-TABLE</t>
        </is>
      </c>
      <c r="L1218">
        <f>_xlfn.TEXTJOIN("/",TRUE,H741,I741,J741,K741)</f>
        <v/>
      </c>
      <c r="N1218" s="18" t="inlineStr">
        <is>
          <t>done</t>
        </is>
      </c>
      <c r="T1218" t="inlineStr">
        <is>
          <t>progress</t>
        </is>
      </c>
      <c r="U1218" t="inlineStr">
        <is>
          <t>기획</t>
        </is>
      </c>
    </row>
    <row r="1219">
      <c r="H1219" t="inlineStr">
        <is>
          <t>DESIGN</t>
        </is>
      </c>
      <c r="I1219" t="inlineStr">
        <is>
          <t>RC</t>
        </is>
      </c>
      <c r="J1219" t="inlineStr">
        <is>
          <t>KDS-41-20-2022</t>
        </is>
      </c>
      <c r="K1219" s="17" t="inlineStr">
        <is>
          <t>CD-REPORT</t>
        </is>
      </c>
      <c r="L1219">
        <f>_xlfn.TEXTJOIN("/",TRUE,H742,I742,J742,K742)</f>
        <v/>
      </c>
      <c r="N1219" s="18" t="inlineStr">
        <is>
          <t>done</t>
        </is>
      </c>
      <c r="T1219" t="inlineStr">
        <is>
          <t>progress</t>
        </is>
      </c>
      <c r="U1219" t="inlineStr">
        <is>
          <t>기획</t>
        </is>
      </c>
    </row>
    <row r="1220">
      <c r="C1220" t="inlineStr">
        <is>
          <t>RC Design</t>
        </is>
      </c>
      <c r="D1220" t="inlineStr">
        <is>
          <t>Perform</t>
        </is>
      </c>
      <c r="E1220" t="inlineStr">
        <is>
          <t>Concrete Code Design</t>
        </is>
      </c>
      <c r="F1220" t="inlineStr">
        <is>
          <t>Brace Design</t>
        </is>
      </c>
      <c r="H1220" s="18" t="inlineStr">
        <is>
          <t>DESIGN</t>
        </is>
      </c>
      <c r="I1220" s="18" t="inlineStr">
        <is>
          <t>RC</t>
        </is>
      </c>
      <c r="J1220" s="18" t="inlineStr">
        <is>
          <t>KDS-41-20-2022</t>
        </is>
      </c>
      <c r="K1220" s="17" t="inlineStr">
        <is>
          <t>BRD-ANAL</t>
        </is>
      </c>
      <c r="L1220">
        <f>_xlfn.TEXTJOIN("/",TRUE,H743,I743,J743,K743)</f>
        <v/>
      </c>
      <c r="N1220" s="18" t="inlineStr">
        <is>
          <t>done</t>
        </is>
      </c>
      <c r="T1220" t="inlineStr">
        <is>
          <t>progress</t>
        </is>
      </c>
      <c r="U1220" t="inlineStr">
        <is>
          <t>기획</t>
        </is>
      </c>
      <c r="V1220" t="inlineStr">
        <is>
          <t>제품 내 공통 데이터 보고 기획 필요</t>
        </is>
      </c>
      <c r="Z1220">
        <f>IF(OR(K743="",K743="TABLE"),"",
_xlfn.TEXTJOIN(", ",TRUE,
IF(E743&lt;&gt;"",E743&amp;K743,""),
IF(F743&lt;&gt;"",F743&amp;K743,""),
IF(G743&lt;&gt;"",G743&amp;K743,"")
))</f>
        <v/>
      </c>
      <c r="AA1220">
        <f>IF(K743="","",IF(K743="TABLE","",K743))</f>
        <v/>
      </c>
      <c r="AB1220">
        <f>IF(ISNUMBER(SEARCH("기존변경필요",SUBSTITUTE(TRIM(V743),CHAR(10)," "))),"",
IFERROR(
  _xlfn.XLOOKUP(AA743,'기존 end point'!B:B,'기존 end point'!B:B,,0),
""))</f>
        <v/>
      </c>
    </row>
    <row r="1221">
      <c r="H1221" s="18" t="inlineStr">
        <is>
          <t>DESIGN</t>
        </is>
      </c>
      <c r="I1221" s="18" t="inlineStr">
        <is>
          <t>RC</t>
        </is>
      </c>
      <c r="J1221" s="18" t="inlineStr">
        <is>
          <t>KDS-41-20-2022</t>
        </is>
      </c>
      <c r="K1221" s="17" t="inlineStr">
        <is>
          <t>BRD-TABLE</t>
        </is>
      </c>
      <c r="L1221">
        <f>_xlfn.TEXTJOIN("/",TRUE,H744,I744,J744,K744)</f>
        <v/>
      </c>
      <c r="N1221" s="18" t="inlineStr">
        <is>
          <t>done</t>
        </is>
      </c>
      <c r="T1221" t="inlineStr">
        <is>
          <t>progress</t>
        </is>
      </c>
      <c r="U1221" t="inlineStr">
        <is>
          <t>기획</t>
        </is>
      </c>
    </row>
    <row r="1222">
      <c r="H1222" s="18" t="inlineStr">
        <is>
          <t>DESIGN</t>
        </is>
      </c>
      <c r="I1222" s="18" t="inlineStr">
        <is>
          <t>RC</t>
        </is>
      </c>
      <c r="J1222" s="18" t="inlineStr">
        <is>
          <t>KDS-41-20-2022</t>
        </is>
      </c>
      <c r="K1222" s="17" t="inlineStr">
        <is>
          <t>BRD-REPORT</t>
        </is>
      </c>
      <c r="L1222">
        <f>_xlfn.TEXTJOIN("/",TRUE,H745,I745,J745,K745)</f>
        <v/>
      </c>
      <c r="N1222" s="18" t="inlineStr">
        <is>
          <t>done</t>
        </is>
      </c>
      <c r="T1222" t="inlineStr">
        <is>
          <t>progress</t>
        </is>
      </c>
      <c r="U1222" t="inlineStr">
        <is>
          <t>기획</t>
        </is>
      </c>
    </row>
    <row r="1223">
      <c r="C1223" t="inlineStr">
        <is>
          <t>RC Design</t>
        </is>
      </c>
      <c r="D1223" t="inlineStr">
        <is>
          <t>Perform</t>
        </is>
      </c>
      <c r="E1223" t="inlineStr">
        <is>
          <t>Concrete Code Design</t>
        </is>
      </c>
      <c r="F1223" t="inlineStr">
        <is>
          <t>Wall Design</t>
        </is>
      </c>
      <c r="H1223" t="inlineStr">
        <is>
          <t>DESIGN</t>
        </is>
      </c>
      <c r="I1223" t="inlineStr">
        <is>
          <t>RC</t>
        </is>
      </c>
      <c r="J1223" t="inlineStr">
        <is>
          <t>KDS-41-20-2022</t>
        </is>
      </c>
      <c r="K1223" s="17" t="inlineStr">
        <is>
          <t>WD-ANAL</t>
        </is>
      </c>
      <c r="L1223">
        <f>_xlfn.TEXTJOIN("/",TRUE,H746,I746,J746,K746)</f>
        <v/>
      </c>
      <c r="N1223" s="18" t="inlineStr">
        <is>
          <t>done</t>
        </is>
      </c>
      <c r="T1223" t="inlineStr">
        <is>
          <t>progress</t>
        </is>
      </c>
      <c r="U1223" t="inlineStr">
        <is>
          <t>기획</t>
        </is>
      </c>
      <c r="V1223" t="inlineStr">
        <is>
          <t>제품 내 공통 데이터 보고 기획 필요</t>
        </is>
      </c>
      <c r="Z1223">
        <f>IF(OR(K746="",K746="TABLE"),"",
_xlfn.TEXTJOIN(", ",TRUE,
IF(E746&lt;&gt;"",E746&amp;K746,""),
IF(F746&lt;&gt;"",F746&amp;K746,""),
IF(G746&lt;&gt;"",G746&amp;K746,"")
))</f>
        <v/>
      </c>
      <c r="AA1223">
        <f>IF(K746="","",IF(K746="TABLE","",K746))</f>
        <v/>
      </c>
      <c r="AB1223">
        <f>IF(ISNUMBER(SEARCH("기존변경필요",SUBSTITUTE(TRIM(V746),CHAR(10)," "))),"",
IFERROR(
  _xlfn.XLOOKUP(AA746,'기존 end point'!B:B,'기존 end point'!B:B,,0),
""))</f>
        <v/>
      </c>
    </row>
    <row r="1224">
      <c r="H1224" t="inlineStr">
        <is>
          <t>DESIGN</t>
        </is>
      </c>
      <c r="I1224" t="inlineStr">
        <is>
          <t>RC</t>
        </is>
      </c>
      <c r="J1224" t="inlineStr">
        <is>
          <t>KDS-41-20-2022</t>
        </is>
      </c>
      <c r="K1224" s="17" t="inlineStr">
        <is>
          <t>WD-TABLE</t>
        </is>
      </c>
      <c r="L1224">
        <f>_xlfn.TEXTJOIN("/",TRUE,H747,I747,J747,K747)</f>
        <v/>
      </c>
      <c r="N1224" s="18" t="inlineStr">
        <is>
          <t>done</t>
        </is>
      </c>
      <c r="T1224" t="inlineStr">
        <is>
          <t>progress</t>
        </is>
      </c>
      <c r="U1224" t="inlineStr">
        <is>
          <t>기획</t>
        </is>
      </c>
    </row>
    <row r="1225">
      <c r="H1225" t="inlineStr">
        <is>
          <t>DESIGN</t>
        </is>
      </c>
      <c r="I1225" t="inlineStr">
        <is>
          <t>RC</t>
        </is>
      </c>
      <c r="J1225" t="inlineStr">
        <is>
          <t>KDS-41-20-2022</t>
        </is>
      </c>
      <c r="K1225" s="17" t="inlineStr">
        <is>
          <t>WD-REPORT</t>
        </is>
      </c>
      <c r="L1225">
        <f>_xlfn.TEXTJOIN("/",TRUE,H748,I748,J748,K748)</f>
        <v/>
      </c>
      <c r="N1225" s="18" t="inlineStr">
        <is>
          <t>done</t>
        </is>
      </c>
      <c r="T1225" t="inlineStr">
        <is>
          <t>progress</t>
        </is>
      </c>
      <c r="U1225" t="inlineStr">
        <is>
          <t>기획</t>
        </is>
      </c>
    </row>
    <row r="1226">
      <c r="C1226" t="inlineStr">
        <is>
          <t>RC Design</t>
        </is>
      </c>
      <c r="D1226" t="inlineStr">
        <is>
          <t>Perform</t>
        </is>
      </c>
      <c r="E1226" t="inlineStr">
        <is>
          <t>Concrete Code Design</t>
        </is>
      </c>
      <c r="F1226" t="inlineStr">
        <is>
          <t>Haunched Beam Design</t>
        </is>
      </c>
      <c r="H1226" s="18" t="inlineStr">
        <is>
          <t>DESIGN</t>
        </is>
      </c>
      <c r="I1226" s="18" t="inlineStr">
        <is>
          <t>RC</t>
        </is>
      </c>
      <c r="J1226" s="18" t="inlineStr">
        <is>
          <t>KDS-41-20-2022</t>
        </is>
      </c>
      <c r="K1226" s="17" t="inlineStr">
        <is>
          <t>HCD-ANAL</t>
        </is>
      </c>
      <c r="L1226">
        <f>_xlfn.TEXTJOIN("/",TRUE,H750,I750,J750,K750)</f>
        <v/>
      </c>
      <c r="N1226" s="18" t="inlineStr">
        <is>
          <t>done</t>
        </is>
      </c>
      <c r="T1226" t="inlineStr">
        <is>
          <t>progress</t>
        </is>
      </c>
      <c r="U1226" t="inlineStr">
        <is>
          <t>기획</t>
        </is>
      </c>
      <c r="V1226" t="inlineStr">
        <is>
          <t>제품 내 공통 데이터 보고 기획 필요</t>
        </is>
      </c>
      <c r="Z1226">
        <f>IF(OR(K750="",K750="TABLE"),"",
_xlfn.TEXTJOIN(", ",TRUE,
IF(E750&lt;&gt;"",E750&amp;K750,""),
IF(F750&lt;&gt;"",F750&amp;K750,""),
IF(G750&lt;&gt;"",G750&amp;K750,"")
))</f>
        <v/>
      </c>
      <c r="AA1226">
        <f>IF(K750="","",IF(K750="TABLE","",K750))</f>
        <v/>
      </c>
      <c r="AB1226">
        <f>IF(ISNUMBER(SEARCH("기존변경필요",SUBSTITUTE(TRIM(V750),CHAR(10)," "))),"",
IFERROR(
  _xlfn.XLOOKUP(AA750,'기존 end point'!B:B,'기존 end point'!B:B,,0),
""))</f>
        <v/>
      </c>
    </row>
    <row r="1227">
      <c r="H1227" s="18" t="inlineStr">
        <is>
          <t>DESIGN</t>
        </is>
      </c>
      <c r="I1227" s="18" t="inlineStr">
        <is>
          <t>RC</t>
        </is>
      </c>
      <c r="J1227" s="18" t="inlineStr">
        <is>
          <t>KDS-41-20-2022</t>
        </is>
      </c>
      <c r="K1227" s="17" t="inlineStr">
        <is>
          <t>HCD-TABLE</t>
        </is>
      </c>
      <c r="L1227">
        <f>_xlfn.TEXTJOIN("/",TRUE,H751,I751,J751,K751)</f>
        <v/>
      </c>
      <c r="N1227" s="18" t="inlineStr">
        <is>
          <t>done</t>
        </is>
      </c>
      <c r="T1227" t="inlineStr">
        <is>
          <t>progress</t>
        </is>
      </c>
      <c r="U1227" t="inlineStr">
        <is>
          <t>기획</t>
        </is>
      </c>
    </row>
    <row r="1228">
      <c r="H1228" s="18" t="inlineStr">
        <is>
          <t>DESIGN</t>
        </is>
      </c>
      <c r="I1228" s="18" t="inlineStr">
        <is>
          <t>RC</t>
        </is>
      </c>
      <c r="J1228" s="18" t="inlineStr">
        <is>
          <t>KDS-41-20-2022</t>
        </is>
      </c>
      <c r="K1228" s="17" t="inlineStr">
        <is>
          <t>HCD-REPORT</t>
        </is>
      </c>
      <c r="L1228">
        <f>_xlfn.TEXTJOIN("/",TRUE,H752,I752,J752,K752)</f>
        <v/>
      </c>
      <c r="N1228" s="18" t="inlineStr">
        <is>
          <t>done</t>
        </is>
      </c>
      <c r="T1228" t="inlineStr">
        <is>
          <t>progress</t>
        </is>
      </c>
      <c r="U1228" t="inlineStr">
        <is>
          <t>기획</t>
        </is>
      </c>
    </row>
    <row r="1229">
      <c r="C1229" t="inlineStr">
        <is>
          <t>RC Design</t>
        </is>
      </c>
      <c r="D1229" t="inlineStr">
        <is>
          <t>Perform</t>
        </is>
      </c>
      <c r="E1229" t="inlineStr">
        <is>
          <t>Concrete Code Check</t>
        </is>
      </c>
      <c r="F1229" t="inlineStr">
        <is>
          <t>Beam Checking</t>
        </is>
      </c>
      <c r="H1229" s="18" t="inlineStr">
        <is>
          <t>DESIGN</t>
        </is>
      </c>
      <c r="I1229" s="18" t="inlineStr">
        <is>
          <t>RC</t>
        </is>
      </c>
      <c r="J1229" s="18" t="inlineStr">
        <is>
          <t>KDS-41-20-2022</t>
        </is>
      </c>
      <c r="K1229" s="20" t="inlineStr">
        <is>
          <t>BC-ANAL</t>
        </is>
      </c>
      <c r="L1229" s="18">
        <f>_xlfn.TEXTJOIN("/",TRUE,H754,I754,J754,K754)</f>
        <v/>
      </c>
      <c r="N1229" s="18" t="inlineStr">
        <is>
          <t>done</t>
        </is>
      </c>
      <c r="T1229" t="inlineStr">
        <is>
          <t>progress</t>
        </is>
      </c>
      <c r="U1229" t="inlineStr">
        <is>
          <t>기획</t>
        </is>
      </c>
      <c r="V1229" t="inlineStr">
        <is>
          <t>제품 내 공통 데이터 보고 기획 필요</t>
        </is>
      </c>
      <c r="Z1229">
        <f>IF(OR(K754="",K754="TABLE"),"",
_xlfn.TEXTJOIN(", ",TRUE,
IF(E754&lt;&gt;"",E754&amp;K754,""),
IF(F754&lt;&gt;"",F754&amp;K754,""),
IF(G754&lt;&gt;"",G754&amp;K754,"")
))</f>
        <v/>
      </c>
      <c r="AA1229">
        <f>IF(K754="","",IF(K754="TABLE","",K754))</f>
        <v/>
      </c>
      <c r="AB1229">
        <f>IF(ISNUMBER(SEARCH("기존변경필요",SUBSTITUTE(TRIM(V754),CHAR(10)," "))),"",
IFERROR(
  _xlfn.XLOOKUP(AA754,'기존 end point'!B:B,'기존 end point'!B:B,,0),
""))</f>
        <v/>
      </c>
    </row>
    <row r="1230">
      <c r="H1230" s="18" t="inlineStr">
        <is>
          <t>DESIGN</t>
        </is>
      </c>
      <c r="I1230" s="18" t="inlineStr">
        <is>
          <t>RC</t>
        </is>
      </c>
      <c r="J1230" s="18" t="inlineStr">
        <is>
          <t>KDS-41-20-2022</t>
        </is>
      </c>
      <c r="K1230" s="20" t="inlineStr">
        <is>
          <t>BC-TABLE</t>
        </is>
      </c>
      <c r="L1230" s="18">
        <f>_xlfn.TEXTJOIN("/",TRUE,H755,I755,J755,K755)</f>
        <v/>
      </c>
      <c r="N1230" s="18" t="inlineStr">
        <is>
          <t>done</t>
        </is>
      </c>
      <c r="T1230" t="inlineStr">
        <is>
          <t>progress</t>
        </is>
      </c>
      <c r="U1230" t="inlineStr">
        <is>
          <t>기획</t>
        </is>
      </c>
    </row>
    <row r="1231">
      <c r="H1231" s="18" t="inlineStr">
        <is>
          <t>DESIGN</t>
        </is>
      </c>
      <c r="I1231" s="18" t="inlineStr">
        <is>
          <t>RC</t>
        </is>
      </c>
      <c r="J1231" s="18" t="inlineStr">
        <is>
          <t>KDS-41-20-2022</t>
        </is>
      </c>
      <c r="K1231" s="20" t="inlineStr">
        <is>
          <t>BC-REPORT</t>
        </is>
      </c>
      <c r="L1231" s="18">
        <f>_xlfn.TEXTJOIN("/",TRUE,H756,I756,J756,K756)</f>
        <v/>
      </c>
      <c r="N1231" s="18" t="inlineStr">
        <is>
          <t>done</t>
        </is>
      </c>
      <c r="T1231" t="inlineStr">
        <is>
          <t>progress</t>
        </is>
      </c>
      <c r="U1231" t="inlineStr">
        <is>
          <t>기획</t>
        </is>
      </c>
    </row>
    <row r="1232">
      <c r="C1232" t="inlineStr">
        <is>
          <t>RC Design</t>
        </is>
      </c>
      <c r="D1232" t="inlineStr">
        <is>
          <t>Perform</t>
        </is>
      </c>
      <c r="E1232" t="inlineStr">
        <is>
          <t>Concrete Code Check</t>
        </is>
      </c>
      <c r="F1232" t="inlineStr">
        <is>
          <t>Column Checking</t>
        </is>
      </c>
      <c r="H1232" t="inlineStr">
        <is>
          <t>DESIGN</t>
        </is>
      </c>
      <c r="I1232" t="inlineStr">
        <is>
          <t>RC</t>
        </is>
      </c>
      <c r="J1232" t="inlineStr">
        <is>
          <t>KDS-41-20-2022</t>
        </is>
      </c>
      <c r="K1232" s="17" t="inlineStr">
        <is>
          <t>CC-ANAL</t>
        </is>
      </c>
      <c r="L1232">
        <f>_xlfn.TEXTJOIN("/",TRUE,H757,I757,J757,K757)</f>
        <v/>
      </c>
      <c r="N1232" s="18" t="inlineStr">
        <is>
          <t>done</t>
        </is>
      </c>
      <c r="T1232" t="inlineStr">
        <is>
          <t>progress</t>
        </is>
      </c>
      <c r="U1232" t="inlineStr">
        <is>
          <t>기획</t>
        </is>
      </c>
      <c r="V1232" t="inlineStr">
        <is>
          <t>제품 내 공통 데이터 보고 기획 필요</t>
        </is>
      </c>
      <c r="Z1232">
        <f>IF(OR(K757="",K757="TABLE"),"",
_xlfn.TEXTJOIN(", ",TRUE,
IF(E757&lt;&gt;"",E757&amp;K757,""),
IF(F757&lt;&gt;"",F757&amp;K757,""),
IF(G757&lt;&gt;"",G757&amp;K757,"")
))</f>
        <v/>
      </c>
      <c r="AA1232">
        <f>IF(K757="","",IF(K757="TABLE","",K757))</f>
        <v/>
      </c>
      <c r="AB1232">
        <f>IF(ISNUMBER(SEARCH("기존변경필요",SUBSTITUTE(TRIM(V757),CHAR(10)," "))),"",
IFERROR(
  _xlfn.XLOOKUP(AA757,'기존 end point'!B:B,'기존 end point'!B:B,,0),
""))</f>
        <v/>
      </c>
    </row>
    <row r="1233">
      <c r="H1233" t="inlineStr">
        <is>
          <t>DESIGN</t>
        </is>
      </c>
      <c r="I1233" t="inlineStr">
        <is>
          <t>RC</t>
        </is>
      </c>
      <c r="J1233" t="inlineStr">
        <is>
          <t>KDS-41-20-2022</t>
        </is>
      </c>
      <c r="K1233" s="17" t="inlineStr">
        <is>
          <t>CC-TABLE</t>
        </is>
      </c>
      <c r="L1233">
        <f>_xlfn.TEXTJOIN("/",TRUE,H758,I758,J758,K758)</f>
        <v/>
      </c>
      <c r="N1233" s="18" t="inlineStr">
        <is>
          <t>done</t>
        </is>
      </c>
      <c r="T1233" t="inlineStr">
        <is>
          <t>progress</t>
        </is>
      </c>
      <c r="U1233" t="inlineStr">
        <is>
          <t>기획</t>
        </is>
      </c>
    </row>
    <row r="1234">
      <c r="H1234" t="inlineStr">
        <is>
          <t>DESIGN</t>
        </is>
      </c>
      <c r="I1234" t="inlineStr">
        <is>
          <t>RC</t>
        </is>
      </c>
      <c r="J1234" t="inlineStr">
        <is>
          <t>KDS-41-20-2022</t>
        </is>
      </c>
      <c r="K1234" s="17" t="inlineStr">
        <is>
          <t>CC-REPORT</t>
        </is>
      </c>
      <c r="L1234">
        <f>_xlfn.TEXTJOIN("/",TRUE,H759,I759,J759,K759)</f>
        <v/>
      </c>
      <c r="N1234" s="18" t="inlineStr">
        <is>
          <t>done</t>
        </is>
      </c>
      <c r="T1234" t="inlineStr">
        <is>
          <t>progress</t>
        </is>
      </c>
      <c r="U1234" t="inlineStr">
        <is>
          <t>기획</t>
        </is>
      </c>
    </row>
    <row r="1235">
      <c r="C1235" t="inlineStr">
        <is>
          <t>RC Design</t>
        </is>
      </c>
      <c r="D1235" t="inlineStr">
        <is>
          <t>Perform</t>
        </is>
      </c>
      <c r="E1235" t="inlineStr">
        <is>
          <t>Concrete Code Check</t>
        </is>
      </c>
      <c r="F1235" t="inlineStr">
        <is>
          <t>Brace Checking</t>
        </is>
      </c>
      <c r="H1235" t="inlineStr">
        <is>
          <t>DESIGN</t>
        </is>
      </c>
      <c r="I1235" t="inlineStr">
        <is>
          <t>RC</t>
        </is>
      </c>
      <c r="J1235" t="inlineStr">
        <is>
          <t>KDS-41-20-2022</t>
        </is>
      </c>
      <c r="K1235" s="17" t="inlineStr">
        <is>
          <t>BRC-ANAL</t>
        </is>
      </c>
      <c r="L1235">
        <f>_xlfn.TEXTJOIN("/",TRUE,H760,I760,J760,K760)</f>
        <v/>
      </c>
      <c r="N1235" s="18" t="inlineStr">
        <is>
          <t>done</t>
        </is>
      </c>
      <c r="T1235" t="inlineStr">
        <is>
          <t>progress</t>
        </is>
      </c>
      <c r="U1235" t="inlineStr">
        <is>
          <t>기획</t>
        </is>
      </c>
      <c r="V1235" t="inlineStr">
        <is>
          <t>제품 내 공통 데이터 보고 기획 필요</t>
        </is>
      </c>
      <c r="Z1235">
        <f>IF(OR(K760="",K760="TABLE"),"",
_xlfn.TEXTJOIN(", ",TRUE,
IF(E760&lt;&gt;"",E760&amp;K760,""),
IF(F760&lt;&gt;"",F760&amp;K760,""),
IF(G760&lt;&gt;"",G760&amp;K760,"")
))</f>
        <v/>
      </c>
      <c r="AA1235">
        <f>IF(K760="","",IF(K760="TABLE","",K760))</f>
        <v/>
      </c>
      <c r="AB1235">
        <f>IF(ISNUMBER(SEARCH("기존변경필요",SUBSTITUTE(TRIM(V760),CHAR(10)," "))),"",
IFERROR(
  _xlfn.XLOOKUP(AA760,'기존 end point'!B:B,'기존 end point'!B:B,,0),
""))</f>
        <v/>
      </c>
    </row>
    <row r="1236">
      <c r="H1236" t="inlineStr">
        <is>
          <t>DESIGN</t>
        </is>
      </c>
      <c r="I1236" t="inlineStr">
        <is>
          <t>RC</t>
        </is>
      </c>
      <c r="J1236" t="inlineStr">
        <is>
          <t>KDS-41-20-2022</t>
        </is>
      </c>
      <c r="K1236" s="17" t="inlineStr">
        <is>
          <t>BRC-TABLE</t>
        </is>
      </c>
      <c r="L1236">
        <f>_xlfn.TEXTJOIN("/",TRUE,H761,I761,J761,K761)</f>
        <v/>
      </c>
      <c r="N1236" s="18" t="inlineStr">
        <is>
          <t>done</t>
        </is>
      </c>
      <c r="T1236" t="inlineStr">
        <is>
          <t>progress</t>
        </is>
      </c>
      <c r="U1236" t="inlineStr">
        <is>
          <t>기획</t>
        </is>
      </c>
    </row>
    <row r="1237">
      <c r="H1237" t="inlineStr">
        <is>
          <t>DESIGN</t>
        </is>
      </c>
      <c r="I1237" t="inlineStr">
        <is>
          <t>RC</t>
        </is>
      </c>
      <c r="J1237" t="inlineStr">
        <is>
          <t>KDS-41-20-2022</t>
        </is>
      </c>
      <c r="K1237" s="17" t="inlineStr">
        <is>
          <t>BRC-REPORT</t>
        </is>
      </c>
      <c r="L1237">
        <f>_xlfn.TEXTJOIN("/",TRUE,H762,I762,J762,K762)</f>
        <v/>
      </c>
      <c r="N1237" s="18" t="inlineStr">
        <is>
          <t>done</t>
        </is>
      </c>
      <c r="T1237" t="inlineStr">
        <is>
          <t>progress</t>
        </is>
      </c>
      <c r="U1237" t="inlineStr">
        <is>
          <t>기획</t>
        </is>
      </c>
    </row>
    <row r="1238">
      <c r="C1238" t="inlineStr">
        <is>
          <t>RC Design</t>
        </is>
      </c>
      <c r="D1238" t="inlineStr">
        <is>
          <t>Perform</t>
        </is>
      </c>
      <c r="E1238" t="inlineStr">
        <is>
          <t>Concrete Code Check</t>
        </is>
      </c>
      <c r="F1238" t="inlineStr">
        <is>
          <t>Wall Checking</t>
        </is>
      </c>
      <c r="H1238" t="inlineStr">
        <is>
          <t>DESIGN</t>
        </is>
      </c>
      <c r="I1238" t="inlineStr">
        <is>
          <t>RC</t>
        </is>
      </c>
      <c r="J1238" t="inlineStr">
        <is>
          <t>KDS-41-20-2022</t>
        </is>
      </c>
      <c r="K1238" s="17" t="inlineStr">
        <is>
          <t>WC-ANAL</t>
        </is>
      </c>
      <c r="L1238">
        <f>_xlfn.TEXTJOIN("/",TRUE,H763,I763,J763,K763)</f>
        <v/>
      </c>
      <c r="N1238" s="18" t="inlineStr">
        <is>
          <t>done</t>
        </is>
      </c>
      <c r="T1238" t="inlineStr">
        <is>
          <t>progress</t>
        </is>
      </c>
      <c r="U1238" t="inlineStr">
        <is>
          <t>기획</t>
        </is>
      </c>
      <c r="V1238" t="inlineStr">
        <is>
          <t>제품 내 공통 데이터 보고 기획 필요</t>
        </is>
      </c>
      <c r="Z1238">
        <f>IF(OR(K763="",K763="TABLE"),"",
_xlfn.TEXTJOIN(", ",TRUE,
IF(E763&lt;&gt;"",E763&amp;K763,""),
IF(F763&lt;&gt;"",F763&amp;K763,""),
IF(G763&lt;&gt;"",G763&amp;K763,"")
))</f>
        <v/>
      </c>
      <c r="AA1238">
        <f>IF(K763="","",IF(K763="TABLE","",K763))</f>
        <v/>
      </c>
      <c r="AB1238">
        <f>IF(ISNUMBER(SEARCH("기존변경필요",SUBSTITUTE(TRIM(V763),CHAR(10)," "))),"",
IFERROR(
  _xlfn.XLOOKUP(AA763,'기존 end point'!B:B,'기존 end point'!B:B,,0),
""))</f>
        <v/>
      </c>
    </row>
    <row r="1239">
      <c r="H1239" t="inlineStr">
        <is>
          <t>DESIGN</t>
        </is>
      </c>
      <c r="I1239" t="inlineStr">
        <is>
          <t>RC</t>
        </is>
      </c>
      <c r="J1239" t="inlineStr">
        <is>
          <t>KDS-41-20-2022</t>
        </is>
      </c>
      <c r="K1239" s="17" t="inlineStr">
        <is>
          <t>WC-TABLE</t>
        </is>
      </c>
      <c r="L1239">
        <f>_xlfn.TEXTJOIN("/",TRUE,H764,I764,J764,K764)</f>
        <v/>
      </c>
      <c r="N1239" s="18" t="inlineStr">
        <is>
          <t>done</t>
        </is>
      </c>
      <c r="T1239" t="inlineStr">
        <is>
          <t>progress</t>
        </is>
      </c>
      <c r="U1239" t="inlineStr">
        <is>
          <t>기획</t>
        </is>
      </c>
    </row>
    <row r="1240">
      <c r="H1240" t="inlineStr">
        <is>
          <t>DESIGN</t>
        </is>
      </c>
      <c r="I1240" t="inlineStr">
        <is>
          <t>RC</t>
        </is>
      </c>
      <c r="J1240" t="inlineStr">
        <is>
          <t>KDS-41-20-2022</t>
        </is>
      </c>
      <c r="K1240" s="17" t="inlineStr">
        <is>
          <t>WC-REPORT</t>
        </is>
      </c>
      <c r="L1240">
        <f>_xlfn.TEXTJOIN("/",TRUE,H765,I765,J765,K765)</f>
        <v/>
      </c>
      <c r="N1240" s="18" t="inlineStr">
        <is>
          <t>done</t>
        </is>
      </c>
      <c r="T1240" t="inlineStr">
        <is>
          <t>progress</t>
        </is>
      </c>
      <c r="U1240" t="inlineStr">
        <is>
          <t>기획</t>
        </is>
      </c>
    </row>
    <row r="1241">
      <c r="C1241" t="inlineStr">
        <is>
          <t>RC Design</t>
        </is>
      </c>
      <c r="D1241" t="inlineStr">
        <is>
          <t>Result</t>
        </is>
      </c>
      <c r="E1241" t="inlineStr">
        <is>
          <t>Concrete Design Result</t>
        </is>
      </c>
      <c r="F1241" t="inlineStr">
        <is>
          <t>Concrete Design</t>
        </is>
      </c>
      <c r="H1241" t="inlineStr">
        <is>
          <t>DESIGN</t>
        </is>
      </c>
      <c r="I1241" t="inlineStr">
        <is>
          <t>RC</t>
        </is>
      </c>
      <c r="J1241" t="inlineStr">
        <is>
          <t>KDS-41-20-2022</t>
        </is>
      </c>
      <c r="K1241" s="17" t="inlineStr">
        <is>
          <t>CDESIGN</t>
        </is>
      </c>
      <c r="L1241">
        <f>_xlfn.TEXTJOIN("/",TRUE,H769,I769,J769,K769)</f>
        <v/>
      </c>
      <c r="N1241" s="18" t="inlineStr">
        <is>
          <t>done</t>
        </is>
      </c>
      <c r="T1241" t="inlineStr">
        <is>
          <t>progress</t>
        </is>
      </c>
      <c r="U1241" t="inlineStr">
        <is>
          <t>기획</t>
        </is>
      </c>
      <c r="Z1241">
        <f>IF(OR(K769="",K769="TABLE"),"",
_xlfn.TEXTJOIN(", ",TRUE,
IF(E769&lt;&gt;"",E769&amp;K769,""),
IF(F769&lt;&gt;"",F769&amp;K769,""),
IF(G769&lt;&gt;"",G769&amp;K769,"")
))</f>
        <v/>
      </c>
      <c r="AA1241">
        <f>IF(K769="","",IF(K769="TABLE","",K769))</f>
        <v/>
      </c>
      <c r="AB1241">
        <f>IF(ISNUMBER(SEARCH("기존변경필요",SUBSTITUTE(TRIM(V769),CHAR(10)," "))),"",
IFERROR(
  _xlfn.XLOOKUP(AA769,'기존 end point'!B:B,'기존 end point'!B:B,,0),
""))</f>
        <v/>
      </c>
    </row>
    <row r="1242">
      <c r="A1242" s="6" t="n">
        <v>752</v>
      </c>
      <c r="B1242" s="6" t="n"/>
      <c r="C1242" s="6" t="inlineStr">
        <is>
          <t>RC Design</t>
        </is>
      </c>
      <c r="D1242" s="6" t="inlineStr">
        <is>
          <t>Result</t>
        </is>
      </c>
      <c r="E1242" s="6" t="inlineStr">
        <is>
          <t>Concrete Design Result</t>
        </is>
      </c>
      <c r="F1242" s="6" t="inlineStr">
        <is>
          <t>Cyclic Shear Resistance</t>
        </is>
      </c>
      <c r="G1242" s="6" t="n"/>
      <c r="H1242" s="6" t="inlineStr">
        <is>
          <t>DESIGN</t>
        </is>
      </c>
      <c r="I1242" s="6" t="inlineStr">
        <is>
          <t>RC</t>
        </is>
      </c>
      <c r="J1242" s="6" t="inlineStr">
        <is>
          <t>KDS-41-20-2022</t>
        </is>
      </c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inlineStr">
        <is>
          <t>cancel</t>
        </is>
      </c>
      <c r="V1242" t="inlineStr">
        <is>
          <t>NTC 기준</t>
        </is>
      </c>
      <c r="Z1242">
        <f>IF(OR(K771="",K771="TABLE"),"",
_xlfn.TEXTJOIN(", ",TRUE,
IF(E771&lt;&gt;"",E771&amp;K771,""),
IF(F771&lt;&gt;"",F771&amp;K771,""),
IF(G771&lt;&gt;"",G771&amp;K771,"")
))</f>
        <v/>
      </c>
      <c r="AA1242">
        <f>IF(K771="","",IF(K771="TABLE","",K771))</f>
        <v/>
      </c>
      <c r="AB1242">
        <f>IF(ISNUMBER(SEARCH("기존변경필요",SUBSTITUTE(TRIM(V771),CHAR(10)," "))),"",
IFERROR(
  _xlfn.XLOOKUP(AA771,'기존 end point'!B:B,'기존 end point'!B:B,,0),
""))</f>
        <v/>
      </c>
    </row>
    <row r="1243">
      <c r="A1243" s="6" t="n">
        <v>753</v>
      </c>
      <c r="B1243" s="6" t="n"/>
      <c r="C1243" s="6" t="inlineStr">
        <is>
          <t>RC Design</t>
        </is>
      </c>
      <c r="D1243" s="6" t="inlineStr">
        <is>
          <t>Result</t>
        </is>
      </c>
      <c r="E1243" s="6" t="inlineStr">
        <is>
          <t>Concrete Design Result</t>
        </is>
      </c>
      <c r="F1243" s="6" t="inlineStr">
        <is>
          <t>Exiting Joint Check</t>
        </is>
      </c>
      <c r="G1243" s="6" t="n"/>
      <c r="H1243" s="6" t="inlineStr">
        <is>
          <t>DESIGN</t>
        </is>
      </c>
      <c r="I1243" s="6" t="inlineStr">
        <is>
          <t>RC</t>
        </is>
      </c>
      <c r="J1243" s="6" t="inlineStr">
        <is>
          <t>KDS-41-20-2022</t>
        </is>
      </c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inlineStr">
        <is>
          <t>cancel</t>
        </is>
      </c>
      <c r="V1243" t="inlineStr">
        <is>
          <t>NTC 기준</t>
        </is>
      </c>
      <c r="Z1243">
        <f>IF(OR(K772="",K772="TABLE"),"",
_xlfn.TEXTJOIN(", ",TRUE,
IF(E772&lt;&gt;"",E772&amp;K772,""),
IF(F772&lt;&gt;"",F772&amp;K772,""),
IF(G772&lt;&gt;"",G772&amp;K772,"")
))</f>
        <v/>
      </c>
      <c r="AA1243">
        <f>IF(K772="","",IF(K772="TABLE","",K772))</f>
        <v/>
      </c>
      <c r="AB1243">
        <f>IF(ISNUMBER(SEARCH("기존변경필요",SUBSTITUTE(TRIM(V772),CHAR(10)," "))),"",
IFERROR(
  _xlfn.XLOOKUP(AA772,'기존 end point'!B:B,'기존 end point'!B:B,,0),
""))</f>
        <v/>
      </c>
    </row>
    <row r="1244">
      <c r="C1244" t="inlineStr">
        <is>
          <t>RC Design</t>
        </is>
      </c>
      <c r="D1244" t="inlineStr">
        <is>
          <t>Result</t>
        </is>
      </c>
      <c r="E1244" t="inlineStr">
        <is>
          <t>Concrete Member Design Forces</t>
        </is>
      </c>
      <c r="F1244" t="inlineStr">
        <is>
          <t>Beam Design Forces</t>
        </is>
      </c>
      <c r="H1244" t="inlineStr">
        <is>
          <t>DESIGN</t>
        </is>
      </c>
      <c r="I1244" t="inlineStr">
        <is>
          <t>RC</t>
        </is>
      </c>
      <c r="J1244" t="inlineStr">
        <is>
          <t>KDS-41-20-2022</t>
        </is>
      </c>
      <c r="K1244" s="17" t="inlineStr">
        <is>
          <t>TABLE</t>
        </is>
      </c>
      <c r="L1244">
        <f>_xlfn.TEXTJOIN("/",TRUE,H773,I773,J773,K773)</f>
        <v/>
      </c>
      <c r="M1244" s="17" t="inlineStr">
        <is>
          <t>BEAMDESIGNFORCES</t>
        </is>
      </c>
      <c r="N1244" t="inlineStr">
        <is>
          <t>done</t>
        </is>
      </c>
      <c r="T1244" t="inlineStr">
        <is>
          <t>Done</t>
        </is>
      </c>
      <c r="V1244" t="inlineStr">
        <is>
          <t>기존변경필요</t>
        </is>
      </c>
      <c r="Z1244">
        <f>IF(OR(K773="",K773="TABLE"),"",
_xlfn.TEXTJOIN(", ",TRUE,
IF(E773&lt;&gt;"",E773&amp;K773,""),
IF(F773&lt;&gt;"",F773&amp;K773,""),
IF(G773&lt;&gt;"",G773&amp;K773,"")
))</f>
        <v/>
      </c>
      <c r="AA1244">
        <f>IF(K773="","",IF(K773="TABLE","",K773))</f>
        <v/>
      </c>
      <c r="AB1244">
        <f>IF(ISNUMBER(SEARCH("기존변경필요",SUBSTITUTE(TRIM(V773),CHAR(10)," "))),"",
IFERROR(
  _xlfn.XLOOKUP(AA773,'기존 end point'!B:B,'기존 end point'!B:B,,0),
""))</f>
        <v/>
      </c>
    </row>
    <row r="1245">
      <c r="C1245" t="inlineStr">
        <is>
          <t>RC Design</t>
        </is>
      </c>
      <c r="D1245" t="inlineStr">
        <is>
          <t>Result</t>
        </is>
      </c>
      <c r="E1245" t="inlineStr">
        <is>
          <t>Concrete Member Design Forces</t>
        </is>
      </c>
      <c r="F1245" t="inlineStr">
        <is>
          <t>Column Design Forces</t>
        </is>
      </c>
      <c r="H1245" t="inlineStr">
        <is>
          <t>DESIGN</t>
        </is>
      </c>
      <c r="I1245" t="inlineStr">
        <is>
          <t>RC</t>
        </is>
      </c>
      <c r="J1245" t="inlineStr">
        <is>
          <t>KDS-41-20-2022</t>
        </is>
      </c>
      <c r="K1245" s="17" t="inlineStr">
        <is>
          <t>TABLE</t>
        </is>
      </c>
      <c r="L1245">
        <f>_xlfn.TEXTJOIN("/",TRUE,H774,I774,J774,K774)</f>
        <v/>
      </c>
      <c r="M1245" s="17" t="inlineStr">
        <is>
          <t>COLUMNDESIGNFORCES</t>
        </is>
      </c>
      <c r="N1245" t="inlineStr">
        <is>
          <t>done</t>
        </is>
      </c>
      <c r="T1245" t="inlineStr">
        <is>
          <t>Done</t>
        </is>
      </c>
      <c r="V1245" t="inlineStr">
        <is>
          <t>기존변경필요</t>
        </is>
      </c>
      <c r="Z1245">
        <f>IF(OR(K774="",K774="TABLE"),"",
_xlfn.TEXTJOIN(", ",TRUE,
IF(E774&lt;&gt;"",E774&amp;K774,""),
IF(F774&lt;&gt;"",F774&amp;K774,""),
IF(G774&lt;&gt;"",G774&amp;K774,"")
))</f>
        <v/>
      </c>
      <c r="AA1245">
        <f>IF(K774="","",IF(K774="TABLE","",K774))</f>
        <v/>
      </c>
      <c r="AB1245">
        <f>IF(ISNUMBER(SEARCH("기존변경필요",SUBSTITUTE(TRIM(V774),CHAR(10)," "))),"",
IFERROR(
  _xlfn.XLOOKUP(AA774,'기존 end point'!B:B,'기존 end point'!B:B,,0),
""))</f>
        <v/>
      </c>
    </row>
    <row r="1246">
      <c r="C1246" t="inlineStr">
        <is>
          <t>RC Design</t>
        </is>
      </c>
      <c r="D1246" t="inlineStr">
        <is>
          <t>Result</t>
        </is>
      </c>
      <c r="E1246" t="inlineStr">
        <is>
          <t>Concrete Member Design Forces</t>
        </is>
      </c>
      <c r="F1246" t="inlineStr">
        <is>
          <t>Brace Design Forces</t>
        </is>
      </c>
      <c r="H1246" t="inlineStr">
        <is>
          <t>DESIGN</t>
        </is>
      </c>
      <c r="I1246" t="inlineStr">
        <is>
          <t>RC</t>
        </is>
      </c>
      <c r="J1246" t="inlineStr">
        <is>
          <t>KDS-41-20-2022</t>
        </is>
      </c>
      <c r="K1246" s="17" t="inlineStr">
        <is>
          <t>TABLE</t>
        </is>
      </c>
      <c r="L1246">
        <f>_xlfn.TEXTJOIN("/",TRUE,H775,I775,J775,K775)</f>
        <v/>
      </c>
      <c r="M1246" s="17" t="inlineStr">
        <is>
          <t>BRACEDESIGNFORCES</t>
        </is>
      </c>
      <c r="N1246" t="inlineStr">
        <is>
          <t>done</t>
        </is>
      </c>
      <c r="T1246" t="inlineStr">
        <is>
          <t>Done</t>
        </is>
      </c>
      <c r="V1246" t="inlineStr">
        <is>
          <t>기존변경필요</t>
        </is>
      </c>
      <c r="Z1246">
        <f>IF(OR(K775="",K775="TABLE"),"",
_xlfn.TEXTJOIN(", ",TRUE,
IF(E775&lt;&gt;"",E775&amp;K775,""),
IF(F775&lt;&gt;"",F775&amp;K775,""),
IF(G775&lt;&gt;"",G775&amp;K775,"")
))</f>
        <v/>
      </c>
      <c r="AA1246">
        <f>IF(K775="","",IF(K775="TABLE","",K775))</f>
        <v/>
      </c>
      <c r="AB1246">
        <f>IF(ISNUMBER(SEARCH("기존변경필요",SUBSTITUTE(TRIM(V775),CHAR(10)," "))),"",
IFERROR(
  _xlfn.XLOOKUP(AA775,'기존 end point'!B:B,'기존 end point'!B:B,,0),
""))</f>
        <v/>
      </c>
    </row>
    <row r="1247">
      <c r="C1247" t="inlineStr">
        <is>
          <t>RC Design</t>
        </is>
      </c>
      <c r="D1247" t="inlineStr">
        <is>
          <t>Result</t>
        </is>
      </c>
      <c r="E1247" t="inlineStr">
        <is>
          <t>Concrete Member Design Forces</t>
        </is>
      </c>
      <c r="F1247" t="inlineStr">
        <is>
          <t>Wall Design Forces</t>
        </is>
      </c>
      <c r="H1247" t="inlineStr">
        <is>
          <t>DESIGN</t>
        </is>
      </c>
      <c r="I1247" t="inlineStr">
        <is>
          <t>RC</t>
        </is>
      </c>
      <c r="J1247" t="inlineStr">
        <is>
          <t>KDS-41-20-2022</t>
        </is>
      </c>
      <c r="K1247" s="17" t="inlineStr">
        <is>
          <t>TABLE</t>
        </is>
      </c>
      <c r="L1247">
        <f>_xlfn.TEXTJOIN("/",TRUE,H776,I776,J776,K776)</f>
        <v/>
      </c>
      <c r="M1247" s="17" t="inlineStr">
        <is>
          <t>WALLDESIGNFORCES</t>
        </is>
      </c>
      <c r="N1247" t="inlineStr">
        <is>
          <t>done</t>
        </is>
      </c>
      <c r="T1247" t="inlineStr">
        <is>
          <t>Done</t>
        </is>
      </c>
      <c r="V1247" t="inlineStr">
        <is>
          <t>기존변경필요</t>
        </is>
      </c>
      <c r="Z1247">
        <f>IF(OR(K776="",K776="TABLE"),"",
_xlfn.TEXTJOIN(", ",TRUE,
IF(E776&lt;&gt;"",E776&amp;K776,""),
IF(F776&lt;&gt;"",F776&amp;K776,""),
IF(G776&lt;&gt;"",G776&amp;K776,"")
))</f>
        <v/>
      </c>
      <c r="AA1247">
        <f>IF(K776="","",IF(K776="TABLE","",K776))</f>
        <v/>
      </c>
      <c r="AB1247">
        <f>IF(ISNUMBER(SEARCH("기존변경필요",SUBSTITUTE(TRIM(V776),CHAR(10)," "))),"",
IFERROR(
  _xlfn.XLOOKUP(AA776,'기존 end point'!B:B,'기존 end point'!B:B,,0),
""))</f>
        <v/>
      </c>
    </row>
    <row r="1248">
      <c r="C1248" t="inlineStr">
        <is>
          <t>RC Design</t>
        </is>
      </c>
      <c r="D1248" t="inlineStr">
        <is>
          <t>Design Section</t>
        </is>
      </c>
      <c r="E1248" t="inlineStr">
        <is>
          <t>Section for Design</t>
        </is>
      </c>
      <c r="H1248" t="inlineStr">
        <is>
          <t>DESIGN</t>
        </is>
      </c>
      <c r="K1248" s="17" t="inlineStr">
        <is>
          <t>DSECT</t>
        </is>
      </c>
      <c r="L1248">
        <f>_xlfn.TEXTJOIN("/",TRUE,H777,I777,J777,K777)</f>
        <v/>
      </c>
      <c r="N1248" t="inlineStr">
        <is>
          <t>progress</t>
        </is>
      </c>
      <c r="T1248" t="inlineStr">
        <is>
          <t>progress</t>
        </is>
      </c>
      <c r="U1248" t="inlineStr">
        <is>
          <t>개발</t>
        </is>
      </c>
      <c r="V1248" t="n">
        <v>3</v>
      </c>
      <c r="Z1248">
        <f>IF(OR(K777="",K777="TABLE"),"",
_xlfn.TEXTJOIN(", ",TRUE,
IF(E777&lt;&gt;"",E777&amp;K777,""),
IF(F777&lt;&gt;"",F777&amp;K777,""),
IF(G777&lt;&gt;"",G777&amp;K777,"")
))</f>
        <v/>
      </c>
      <c r="AA1248">
        <f>IF(K777="","",IF(K777="TABLE","",K777))</f>
        <v/>
      </c>
      <c r="AB1248">
        <f>IF(ISNUMBER(SEARCH("기존변경필요",SUBSTITUTE(TRIM(V777),CHAR(10)," "))),"",
IFERROR(
  _xlfn.XLOOKUP(AA777,'기존 end point'!B:B,'기존 end point'!B:B,,0),
""))</f>
        <v/>
      </c>
    </row>
    <row r="1249">
      <c r="A1249" s="6" t="n">
        <v>759</v>
      </c>
      <c r="B1249" s="6" t="n"/>
      <c r="C1249" s="6" t="inlineStr">
        <is>
          <t>RC Design</t>
        </is>
      </c>
      <c r="D1249" s="6" t="inlineStr">
        <is>
          <t>Batch Processing</t>
        </is>
      </c>
      <c r="E1249" s="6" t="inlineStr">
        <is>
          <t>Perform Batch Design</t>
        </is>
      </c>
      <c r="F1249" s="6" t="n"/>
      <c r="G1249" s="6" t="n"/>
      <c r="H1249" s="6" t="inlineStr">
        <is>
          <t>DESIGN</t>
        </is>
      </c>
      <c r="I1249" s="6" t="inlineStr">
        <is>
          <t>RC</t>
        </is>
      </c>
      <c r="J1249" s="6" t="inlineStr">
        <is>
          <t>KDS-41-20-2022</t>
        </is>
      </c>
      <c r="K1249" s="23" t="inlineStr">
        <is>
          <t>BATCH</t>
        </is>
      </c>
      <c r="L1249" s="6">
        <f>_xlfn.TEXTJOIN("/",TRUE,H778,I778,J778,K778)</f>
        <v/>
      </c>
      <c r="M1249" s="6" t="n"/>
      <c r="N1249" s="6" t="n"/>
      <c r="O1249" s="6" t="n"/>
      <c r="P1249" s="6" t="n"/>
      <c r="Q1249" s="6" t="n"/>
      <c r="R1249" s="6" t="n"/>
      <c r="S1249" s="6" t="n"/>
      <c r="T1249" s="6" t="inlineStr">
        <is>
          <t>cancel</t>
        </is>
      </c>
      <c r="V1249" t="inlineStr">
        <is>
          <t>X</t>
        </is>
      </c>
      <c r="Z1249">
        <f>IF(OR(K778="",K778="TABLE"),"",
_xlfn.TEXTJOIN(", ",TRUE,
IF(E778&lt;&gt;"",E778&amp;K778,""),
IF(F778&lt;&gt;"",F778&amp;K778,""),
IF(G778&lt;&gt;"",G778&amp;K778,"")
))</f>
        <v/>
      </c>
      <c r="AA1249">
        <f>IF(K778="","",IF(K778="TABLE","",K778))</f>
        <v/>
      </c>
      <c r="AB1249">
        <f>IF(ISNUMBER(SEARCH("기존변경필요",SUBSTITUTE(TRIM(V778),CHAR(10)," "))),"",
IFERROR(
  _xlfn.XLOOKUP(AA778,'기존 end point'!B:B,'기존 end point'!B:B,,0),
""))</f>
        <v/>
      </c>
    </row>
    <row r="1250">
      <c r="A1250" t="n">
        <v>760</v>
      </c>
      <c r="C1250" t="inlineStr">
        <is>
          <t>Meshed Design</t>
        </is>
      </c>
      <c r="D1250" t="inlineStr">
        <is>
          <t>Design Code</t>
        </is>
      </c>
      <c r="E1250" t="inlineStr">
        <is>
          <t>Design Code</t>
        </is>
      </c>
      <c r="T1250" t="inlineStr">
        <is>
          <t>none</t>
        </is>
      </c>
    </row>
    <row r="1251">
      <c r="A1251" t="n">
        <v>761</v>
      </c>
      <c r="C1251" t="inlineStr">
        <is>
          <t>Meshed Design</t>
        </is>
      </c>
      <c r="D1251" t="inlineStr">
        <is>
          <t>Design Input Data</t>
        </is>
      </c>
      <c r="E1251" t="inlineStr">
        <is>
          <t>Design Code Option</t>
        </is>
      </c>
      <c r="T1251" t="inlineStr">
        <is>
          <t>none</t>
        </is>
      </c>
    </row>
    <row r="1252">
      <c r="A1252" t="n">
        <v>762</v>
      </c>
      <c r="C1252" t="inlineStr">
        <is>
          <t>Meshed Design</t>
        </is>
      </c>
      <c r="D1252" t="inlineStr">
        <is>
          <t>Design Input Data</t>
        </is>
      </c>
      <c r="E1252" t="inlineStr">
        <is>
          <t>Design Parameters</t>
        </is>
      </c>
      <c r="F1252" t="inlineStr">
        <is>
          <t>Slab Design Control</t>
        </is>
      </c>
      <c r="T1252" t="inlineStr">
        <is>
          <t>none</t>
        </is>
      </c>
    </row>
    <row r="1253">
      <c r="A1253" t="n">
        <v>763</v>
      </c>
      <c r="C1253" t="inlineStr">
        <is>
          <t>Meshed Design</t>
        </is>
      </c>
      <c r="D1253" t="inlineStr">
        <is>
          <t>Design Input Data</t>
        </is>
      </c>
      <c r="E1253" t="inlineStr">
        <is>
          <t>Design Parameters</t>
        </is>
      </c>
      <c r="F1253" t="inlineStr">
        <is>
          <t>Serviceability Load Combination Type</t>
        </is>
      </c>
      <c r="T1253" t="inlineStr">
        <is>
          <t>none</t>
        </is>
      </c>
    </row>
    <row r="1254">
      <c r="A1254" t="n">
        <v>764</v>
      </c>
      <c r="C1254" t="inlineStr">
        <is>
          <t>Meshed Design</t>
        </is>
      </c>
      <c r="D1254" t="inlineStr">
        <is>
          <t>Design Input Data</t>
        </is>
      </c>
      <c r="E1254" t="inlineStr">
        <is>
          <t>Design Parameters</t>
        </is>
      </c>
      <c r="F1254" t="inlineStr">
        <is>
          <t>Slab/Wall/Shell Load Combinations</t>
        </is>
      </c>
      <c r="T1254" t="inlineStr">
        <is>
          <t>none</t>
        </is>
      </c>
    </row>
    <row r="1255">
      <c r="A1255" t="n">
        <v>765</v>
      </c>
      <c r="C1255" t="inlineStr">
        <is>
          <t>Meshed Design</t>
        </is>
      </c>
      <c r="D1255" t="inlineStr">
        <is>
          <t>Design Input Data</t>
        </is>
      </c>
      <c r="E1255" t="inlineStr">
        <is>
          <t>Design Parameters</t>
        </is>
      </c>
      <c r="F1255" t="inlineStr">
        <is>
          <t>Design Criteria for Rebars</t>
        </is>
      </c>
      <c r="T1255" t="inlineStr">
        <is>
          <t>none</t>
        </is>
      </c>
    </row>
    <row r="1256">
      <c r="A1256" t="n">
        <v>766</v>
      </c>
      <c r="C1256" t="inlineStr">
        <is>
          <t>Meshed Design</t>
        </is>
      </c>
      <c r="D1256" t="inlineStr">
        <is>
          <t>Design Input Data</t>
        </is>
      </c>
      <c r="E1256" t="inlineStr">
        <is>
          <t>Design Parameters</t>
        </is>
      </c>
      <c r="F1256" t="inlineStr">
        <is>
          <t>Slab Rebars for Checking</t>
        </is>
      </c>
      <c r="T1256" t="inlineStr">
        <is>
          <t>none</t>
        </is>
      </c>
    </row>
    <row r="1257">
      <c r="A1257" t="n">
        <v>767</v>
      </c>
      <c r="C1257" t="inlineStr">
        <is>
          <t>Meshed Design</t>
        </is>
      </c>
      <c r="D1257" t="inlineStr">
        <is>
          <t>Design Input Data</t>
        </is>
      </c>
      <c r="E1257" t="inlineStr">
        <is>
          <t>Design Parameters</t>
        </is>
      </c>
      <c r="F1257" t="inlineStr">
        <is>
          <t>Slab Shear Reinforcement</t>
        </is>
      </c>
      <c r="T1257" t="inlineStr">
        <is>
          <t>none</t>
        </is>
      </c>
    </row>
    <row r="1258">
      <c r="A1258" t="n">
        <v>768</v>
      </c>
      <c r="C1258" t="inlineStr">
        <is>
          <t>Meshed Design</t>
        </is>
      </c>
      <c r="D1258" t="inlineStr">
        <is>
          <t>Design Input Data</t>
        </is>
      </c>
      <c r="E1258" t="inlineStr">
        <is>
          <t>Design Parameters</t>
        </is>
      </c>
      <c r="F1258" t="inlineStr">
        <is>
          <t>Modify Column Location</t>
        </is>
      </c>
      <c r="T1258" t="inlineStr">
        <is>
          <t>none</t>
        </is>
      </c>
    </row>
    <row r="1259">
      <c r="A1259" t="n">
        <v>769</v>
      </c>
      <c r="C1259" t="inlineStr">
        <is>
          <t>Meshed Design</t>
        </is>
      </c>
      <c r="D1259" t="inlineStr">
        <is>
          <t>Design Input Data</t>
        </is>
      </c>
      <c r="E1259" t="inlineStr">
        <is>
          <t>Design Parameters</t>
        </is>
      </c>
      <c r="F1259" t="inlineStr">
        <is>
          <t>Slab Serviceability Parameters</t>
        </is>
      </c>
      <c r="T1259" t="inlineStr">
        <is>
          <t>none</t>
        </is>
      </c>
    </row>
    <row r="1260">
      <c r="A1260" t="n">
        <v>770</v>
      </c>
      <c r="C1260" t="inlineStr">
        <is>
          <t>Meshed Design</t>
        </is>
      </c>
      <c r="D1260" t="inlineStr">
        <is>
          <t>Design Input Data</t>
        </is>
      </c>
      <c r="E1260" t="inlineStr">
        <is>
          <t>Design Parameters</t>
        </is>
      </c>
      <c r="F1260" t="inlineStr">
        <is>
          <t>Slab Seismic Load Combination Type</t>
        </is>
      </c>
      <c r="T1260" t="inlineStr">
        <is>
          <t>none</t>
        </is>
      </c>
    </row>
    <row r="1261">
      <c r="A1261" t="n">
        <v>771</v>
      </c>
      <c r="C1261" t="inlineStr">
        <is>
          <t>Meshed Design</t>
        </is>
      </c>
      <c r="D1261" t="inlineStr">
        <is>
          <t>Table</t>
        </is>
      </c>
      <c r="E1261" t="inlineStr">
        <is>
          <t>Parameter Tables</t>
        </is>
      </c>
      <c r="F1261" t="inlineStr">
        <is>
          <t>Slab Serviceability Parameters</t>
        </is>
      </c>
      <c r="T1261" t="inlineStr">
        <is>
          <t>none</t>
        </is>
      </c>
    </row>
    <row r="1262">
      <c r="A1262" t="n">
        <v>772</v>
      </c>
      <c r="C1262" t="inlineStr">
        <is>
          <t>Meshed Design</t>
        </is>
      </c>
      <c r="D1262" t="inlineStr">
        <is>
          <t>Perform/Result</t>
        </is>
      </c>
      <c r="E1262" t="inlineStr">
        <is>
          <t>Cracked Section Analysis</t>
        </is>
      </c>
      <c r="F1262" t="inlineStr">
        <is>
          <t>Cracked Section Anaysis Control</t>
        </is>
      </c>
      <c r="T1262" t="inlineStr">
        <is>
          <t>none</t>
        </is>
      </c>
    </row>
    <row r="1263">
      <c r="A1263" t="n">
        <v>773</v>
      </c>
      <c r="C1263" t="inlineStr">
        <is>
          <t>Meshed Design</t>
        </is>
      </c>
      <c r="D1263" t="inlineStr">
        <is>
          <t>Perform/Result</t>
        </is>
      </c>
      <c r="E1263" t="inlineStr">
        <is>
          <t>Cracked Section Analysis</t>
        </is>
      </c>
      <c r="F1263" t="inlineStr">
        <is>
          <t>Perform Cracked Section Analysis</t>
        </is>
      </c>
      <c r="T1263" t="inlineStr">
        <is>
          <t>none</t>
        </is>
      </c>
    </row>
    <row r="1264">
      <c r="A1264" t="n">
        <v>774</v>
      </c>
      <c r="C1264" t="inlineStr">
        <is>
          <t>Meshed Design</t>
        </is>
      </c>
      <c r="D1264" t="inlineStr">
        <is>
          <t>Perform/Result</t>
        </is>
      </c>
      <c r="E1264" t="inlineStr">
        <is>
          <t>Slab Design</t>
        </is>
      </c>
      <c r="F1264" t="inlineStr">
        <is>
          <t>Slab Flexural Design</t>
        </is>
      </c>
      <c r="T1264" t="inlineStr">
        <is>
          <t>none</t>
        </is>
      </c>
    </row>
    <row r="1265">
      <c r="A1265" t="n">
        <v>775</v>
      </c>
      <c r="C1265" t="inlineStr">
        <is>
          <t>Meshed Design</t>
        </is>
      </c>
      <c r="D1265" t="inlineStr">
        <is>
          <t>Perform/Result</t>
        </is>
      </c>
      <c r="E1265" t="inlineStr">
        <is>
          <t>Slab Design</t>
        </is>
      </c>
      <c r="F1265" t="inlineStr">
        <is>
          <t>Slab Flexural Checking</t>
        </is>
      </c>
      <c r="T1265" t="inlineStr">
        <is>
          <t>none</t>
        </is>
      </c>
    </row>
    <row r="1266">
      <c r="A1266" t="n">
        <v>776</v>
      </c>
      <c r="C1266" t="inlineStr">
        <is>
          <t>Meshed Design</t>
        </is>
      </c>
      <c r="D1266" t="inlineStr">
        <is>
          <t>Perform/Result</t>
        </is>
      </c>
      <c r="E1266" t="inlineStr">
        <is>
          <t>Slab Design</t>
        </is>
      </c>
      <c r="F1266" t="inlineStr">
        <is>
          <t>Slab Shear Checking</t>
        </is>
      </c>
      <c r="T1266" t="inlineStr">
        <is>
          <t>none</t>
        </is>
      </c>
    </row>
    <row r="1267">
      <c r="A1267" t="n">
        <v>777</v>
      </c>
      <c r="C1267" t="inlineStr">
        <is>
          <t>Meshed Design</t>
        </is>
      </c>
      <c r="D1267" t="inlineStr">
        <is>
          <t>Perform/Result</t>
        </is>
      </c>
      <c r="E1267" t="inlineStr">
        <is>
          <t>Slab Design</t>
        </is>
      </c>
      <c r="F1267" t="inlineStr">
        <is>
          <t>Slab Serviceability Checking</t>
        </is>
      </c>
      <c r="T1267" t="inlineStr">
        <is>
          <t>none</t>
        </is>
      </c>
    </row>
    <row r="1268">
      <c r="A1268" t="n">
        <v>778</v>
      </c>
      <c r="C1268" t="inlineStr">
        <is>
          <t>Meshed Design</t>
        </is>
      </c>
      <c r="D1268" t="inlineStr">
        <is>
          <t>Perform/Result</t>
        </is>
      </c>
      <c r="E1268" t="inlineStr">
        <is>
          <t>Column Strip Design</t>
        </is>
      </c>
      <c r="F1268" t="inlineStr">
        <is>
          <t>Column Strip Design</t>
        </is>
      </c>
      <c r="T1268" t="inlineStr">
        <is>
          <t>none</t>
        </is>
      </c>
    </row>
    <row r="1269">
      <c r="A1269" t="n">
        <v>779</v>
      </c>
      <c r="C1269" t="inlineStr">
        <is>
          <t>Meshed Design</t>
        </is>
      </c>
      <c r="D1269" t="inlineStr">
        <is>
          <t>Perform/Result</t>
        </is>
      </c>
      <c r="E1269" t="inlineStr">
        <is>
          <t>Column Strip Design</t>
        </is>
      </c>
      <c r="F1269" t="inlineStr">
        <is>
          <t>Column Strip Checking</t>
        </is>
      </c>
      <c r="T1269" t="inlineStr">
        <is>
          <t>none</t>
        </is>
      </c>
    </row>
    <row r="1270">
      <c r="B1270" s="1" t="n"/>
      <c r="C1270" s="1" t="inlineStr">
        <is>
          <t>SRC Design</t>
        </is>
      </c>
      <c r="D1270" s="1" t="inlineStr">
        <is>
          <t>Design Code</t>
        </is>
      </c>
      <c r="E1270" s="2" t="inlineStr">
        <is>
          <t>Design Code</t>
        </is>
      </c>
      <c r="F1270" s="1" t="n"/>
      <c r="G1270" s="1" t="n"/>
      <c r="H1270" s="1" t="inlineStr">
        <is>
          <t>DESIGN</t>
        </is>
      </c>
      <c r="I1270" s="1" t="inlineStr">
        <is>
          <t>SRC</t>
        </is>
      </c>
      <c r="J1270" s="1" t="inlineStr">
        <is>
          <t>AIK-SRC2K</t>
        </is>
      </c>
      <c r="K1270" s="10" t="inlineStr">
        <is>
          <t>DSRC</t>
        </is>
      </c>
      <c r="L1270" s="1">
        <f>_xlfn.TEXTJOIN("/",TRUE,H799,I799,J799,K799)</f>
        <v/>
      </c>
      <c r="M1270" s="1" t="n"/>
      <c r="N1270" s="1" t="inlineStr">
        <is>
          <t>progress</t>
        </is>
      </c>
      <c r="O1270" s="1" t="n"/>
      <c r="P1270" s="1" t="n"/>
      <c r="Q1270" s="1" t="n"/>
      <c r="R1270" s="1" t="n"/>
      <c r="S1270" s="1" t="n"/>
      <c r="T1270" s="1" t="inlineStr">
        <is>
          <t>progress</t>
        </is>
      </c>
      <c r="U1270" s="1" t="inlineStr">
        <is>
          <t>개발</t>
        </is>
      </c>
      <c r="V1270" s="1" t="n">
        <v>1</v>
      </c>
      <c r="Z1270">
        <f>IF(OR(K799="",K799="TABLE"),"",
_xlfn.TEXTJOIN(", ",TRUE,
IF(E799&lt;&gt;"",E799&amp;K799,""),
IF(F799&lt;&gt;"",F799&amp;K799,""),
IF(G799&lt;&gt;"",G799&amp;K799,"")
))</f>
        <v/>
      </c>
      <c r="AA1270">
        <f>IF(K799="","",IF(K799="TABLE","",K799))</f>
        <v/>
      </c>
      <c r="AB1270">
        <f>IF(ISNUMBER(SEARCH("기존변경필요",SUBSTITUTE(TRIM(V799),CHAR(10)," "))),"",
IFERROR(
  _xlfn.XLOOKUP(AA799,'기존 end point'!B:B,'기존 end point'!B:B,,0),
""))</f>
        <v/>
      </c>
    </row>
    <row r="1271">
      <c r="B1271" s="1" t="n"/>
      <c r="C1271" s="1" t="inlineStr">
        <is>
          <t>SRC Design</t>
        </is>
      </c>
      <c r="D1271" s="1" t="inlineStr">
        <is>
          <t>Design Input Data</t>
        </is>
      </c>
      <c r="E1271" s="2" t="inlineStr">
        <is>
          <t>Design Code Option</t>
        </is>
      </c>
      <c r="F1271" s="1" t="n"/>
      <c r="G1271" s="1" t="n"/>
      <c r="H1271" s="1" t="inlineStr">
        <is>
          <t>DESIGN</t>
        </is>
      </c>
      <c r="I1271" s="1" t="inlineStr">
        <is>
          <t>SRC</t>
        </is>
      </c>
      <c r="J1271" s="1" t="inlineStr">
        <is>
          <t>AIK-SRC2K</t>
        </is>
      </c>
      <c r="K1271" s="10" t="inlineStr">
        <is>
          <t>DCO</t>
        </is>
      </c>
      <c r="L1271" s="1">
        <f>_xlfn.TEXTJOIN("/",TRUE,H800,I800,J800,K800)</f>
        <v/>
      </c>
      <c r="M1271" s="1" t="n"/>
      <c r="N1271" s="1" t="inlineStr">
        <is>
          <t>progress</t>
        </is>
      </c>
      <c r="O1271" s="1" t="n"/>
      <c r="P1271" s="1" t="n"/>
      <c r="Q1271" s="1" t="n"/>
      <c r="R1271" s="1" t="n"/>
      <c r="S1271" s="1" t="n"/>
      <c r="T1271" s="1" t="inlineStr">
        <is>
          <t>progress</t>
        </is>
      </c>
      <c r="U1271" s="1" t="inlineStr">
        <is>
          <t>개발</t>
        </is>
      </c>
      <c r="V1271" s="1" t="n">
        <v>1</v>
      </c>
      <c r="Z1271">
        <f>IF(OR(K800="",K800="TABLE"),"",
_xlfn.TEXTJOIN(", ",TRUE,
IF(E800&lt;&gt;"",E800&amp;K800,""),
IF(F800&lt;&gt;"",F800&amp;K800,""),
IF(G800&lt;&gt;"",G800&amp;K800,"")
))</f>
        <v/>
      </c>
      <c r="AA1271">
        <f>IF(K800="","",IF(K800="TABLE","",K800))</f>
        <v/>
      </c>
      <c r="AB1271">
        <f>IF(ISNUMBER(SEARCH("기존변경필요",SUBSTITUTE(TRIM(V800),CHAR(10)," "))),"",
IFERROR(
  _xlfn.XLOOKUP(AA800,'기존 end point'!B:B,'기존 end point'!B:B,,0),
""))</f>
        <v/>
      </c>
    </row>
    <row r="1272">
      <c r="B1272" s="1" t="n"/>
      <c r="C1272" s="1" t="inlineStr">
        <is>
          <t>SRC Design</t>
        </is>
      </c>
      <c r="D1272" s="1" t="inlineStr">
        <is>
          <t>Design Input Data</t>
        </is>
      </c>
      <c r="E1272" s="2" t="inlineStr">
        <is>
          <t>Design Parameters</t>
        </is>
      </c>
      <c r="F1272" s="2" t="inlineStr">
        <is>
          <t>Definition of Frame</t>
        </is>
      </c>
      <c r="G1272" s="1" t="n"/>
      <c r="H1272" s="1" t="inlineStr">
        <is>
          <t>DESIGN</t>
        </is>
      </c>
      <c r="I1272" s="1" t="inlineStr">
        <is>
          <t>SRC</t>
        </is>
      </c>
      <c r="J1272" s="1" t="inlineStr">
        <is>
          <t>AIK-SRC2K</t>
        </is>
      </c>
      <c r="K1272" s="1">
        <f>_xlfn.XLOOKUP(F801,'PARAMETER 공통'!$B$4:$B$53,'PARAMETER 공통'!$D$4:$D$53,,0,1)</f>
        <v/>
      </c>
      <c r="L1272" s="1">
        <f>_xlfn.TEXTJOIN("/",TRUE,H801,I801,J801,K801)</f>
        <v/>
      </c>
      <c r="M1272" s="1" t="n"/>
      <c r="N1272" s="1" t="inlineStr">
        <is>
          <t>done</t>
        </is>
      </c>
      <c r="O1272" s="1" t="n"/>
      <c r="P1272" s="1" t="n"/>
      <c r="Q1272" s="1" t="n"/>
      <c r="R1272" s="1" t="n"/>
      <c r="S1272" s="1" t="inlineStr">
        <is>
          <t>warning</t>
        </is>
      </c>
      <c r="T1272" s="1" t="inlineStr">
        <is>
          <t>Done</t>
        </is>
      </c>
      <c r="U1272" s="1" t="n"/>
      <c r="V1272" s="1" t="inlineStr">
        <is>
          <t>기존변경필요</t>
        </is>
      </c>
      <c r="Z1272">
        <f>IF(OR(K801="",K801="TABLE"),"",
_xlfn.TEXTJOIN(", ",TRUE,
IF(E801&lt;&gt;"",E801&amp;K801,""),
IF(F801&lt;&gt;"",F801&amp;K801,""),
IF(G801&lt;&gt;"",G801&amp;K801,"")
))</f>
        <v/>
      </c>
      <c r="AA1272">
        <f>IF(K801="","",IF(K801="TABLE","",K801))</f>
        <v/>
      </c>
      <c r="AB1272">
        <f>IF(ISNUMBER(SEARCH("기존변경필요",SUBSTITUTE(TRIM(V801),CHAR(10)," "))),"",
IFERROR(
  _xlfn.XLOOKUP(AA801,'기존 end point'!B:B,'기존 end point'!B:B,,0),
""))</f>
        <v/>
      </c>
    </row>
    <row r="1273">
      <c r="B1273" s="1" t="n"/>
      <c r="C1273" s="1" t="inlineStr">
        <is>
          <t>SRC Design</t>
        </is>
      </c>
      <c r="D1273" s="1" t="inlineStr">
        <is>
          <t>Design Input Data</t>
        </is>
      </c>
      <c r="E1273" s="2" t="inlineStr">
        <is>
          <t>Design Parameters</t>
        </is>
      </c>
      <c r="F1273" s="2" t="inlineStr">
        <is>
          <t>Live Load Reduction Factor</t>
        </is>
      </c>
      <c r="G1273" s="1" t="n"/>
      <c r="H1273" s="1" t="inlineStr">
        <is>
          <t>DESIGN</t>
        </is>
      </c>
      <c r="I1273" s="1" t="inlineStr">
        <is>
          <t>SRC</t>
        </is>
      </c>
      <c r="J1273" s="1" t="inlineStr">
        <is>
          <t>AIK-SRC2K</t>
        </is>
      </c>
      <c r="K1273" s="1">
        <f>_xlfn.XLOOKUP(F802,'PARAMETER 공통'!$B$4:$B$53,'PARAMETER 공통'!$D$4:$D$53,,0,1)</f>
        <v/>
      </c>
      <c r="L1273" s="1">
        <f>_xlfn.TEXTJOIN("/",TRUE,H802,I802,J802,K802)</f>
        <v/>
      </c>
      <c r="M1273" s="1" t="n"/>
      <c r="N1273" s="2" t="inlineStr">
        <is>
          <t>done</t>
        </is>
      </c>
      <c r="O1273" s="1" t="n"/>
      <c r="P1273" s="1" t="n"/>
      <c r="Q1273" s="1" t="n"/>
      <c r="R1273" s="1" t="n"/>
      <c r="S1273" s="1" t="n"/>
      <c r="T1273" s="1" t="inlineStr">
        <is>
          <t>progress</t>
        </is>
      </c>
      <c r="U1273" s="1" t="inlineStr">
        <is>
          <t>기획</t>
        </is>
      </c>
      <c r="V1273" s="1" t="n">
        <v>1</v>
      </c>
      <c r="Z1273">
        <f>IF(OR(K802="",K802="TABLE"),"",
_xlfn.TEXTJOIN(", ",TRUE,
IF(E802&lt;&gt;"",E802&amp;K802,""),
IF(F802&lt;&gt;"",F802&amp;K802,""),
IF(G802&lt;&gt;"",G802&amp;K802,"")
))</f>
        <v/>
      </c>
      <c r="AA1273">
        <f>IF(K802="","",IF(K802="TABLE","",K802))</f>
        <v/>
      </c>
      <c r="AB1273">
        <f>IF(ISNUMBER(SEARCH("기존변경필요",SUBSTITUTE(TRIM(V802),CHAR(10)," "))),"",
IFERROR(
  _xlfn.XLOOKUP(AA802,'기존 end point'!B:B,'기존 end point'!B:B,,0),
""))</f>
        <v/>
      </c>
    </row>
    <row r="1274">
      <c r="A1274" s="6" t="n">
        <v>784</v>
      </c>
      <c r="B1274" s="7" t="n"/>
      <c r="C1274" s="7" t="inlineStr">
        <is>
          <t>SRC Design</t>
        </is>
      </c>
      <c r="D1274" s="7" t="inlineStr">
        <is>
          <t>Design Input Data</t>
        </is>
      </c>
      <c r="E1274" s="25" t="inlineStr">
        <is>
          <t>Design Parameters</t>
        </is>
      </c>
      <c r="F1274" s="25" t="inlineStr">
        <is>
          <t>Short/Long term Load Case</t>
        </is>
      </c>
      <c r="G1274" s="8" t="n"/>
      <c r="H1274" s="8" t="inlineStr">
        <is>
          <t>DESIGN</t>
        </is>
      </c>
      <c r="I1274" s="8" t="inlineStr">
        <is>
          <t>SRC</t>
        </is>
      </c>
      <c r="J1274" s="7" t="inlineStr">
        <is>
          <t>AIK-SRC2K</t>
        </is>
      </c>
      <c r="K1274" s="7">
        <f>_xlfn.XLOOKUP(F803,'PARAMETER 공통'!$B$4:$B$53,'PARAMETER 공통'!$D$4:$D$53,,0,1)</f>
        <v/>
      </c>
      <c r="L1274" s="7">
        <f>_xlfn.TEXTJOIN("/",TRUE,H803,I803,J803,K803)</f>
        <v/>
      </c>
      <c r="M1274" s="8" t="n"/>
      <c r="N1274" s="8" t="n"/>
      <c r="O1274" s="8" t="n"/>
      <c r="P1274" s="8" t="n"/>
      <c r="Q1274" s="8" t="n"/>
      <c r="R1274" s="8" t="n"/>
      <c r="S1274" s="8" t="n"/>
      <c r="T1274" s="9" t="inlineStr">
        <is>
          <t>cancel</t>
        </is>
      </c>
      <c r="U1274" s="1" t="n"/>
      <c r="V1274" s="1" t="n"/>
      <c r="Z1274">
        <f>IF(OR(K803="",K803="TABLE"),"",
_xlfn.TEXTJOIN(", ",TRUE,
IF(E803&lt;&gt;"",E803&amp;K803,""),
IF(F803&lt;&gt;"",F803&amp;K803,""),
IF(G803&lt;&gt;"",G803&amp;K803,"")
))</f>
        <v/>
      </c>
      <c r="AA1274">
        <f>IF(K803="","",IF(K803="TABLE","",K803))</f>
        <v/>
      </c>
      <c r="AB1274">
        <f>IF(ISNUMBER(SEARCH("기존변경필요",SUBSTITUTE(TRIM(V803),CHAR(10)," "))),"",
IFERROR(
  _xlfn.XLOOKUP(AA803,'기존 end point'!B:B,'기존 end point'!B:B,,0),
""))</f>
        <v/>
      </c>
    </row>
    <row r="1275">
      <c r="B1275" s="1" t="n"/>
      <c r="C1275" s="1" t="inlineStr">
        <is>
          <t>SRC Design</t>
        </is>
      </c>
      <c r="D1275" s="1" t="inlineStr">
        <is>
          <t>Design Input Data</t>
        </is>
      </c>
      <c r="E1275" s="1" t="inlineStr">
        <is>
          <t>Design Parameters</t>
        </is>
      </c>
      <c r="F1275" s="2" t="inlineStr">
        <is>
          <t>Load Contribution for Nonlinear Load Case</t>
        </is>
      </c>
      <c r="G1275" s="1" t="n"/>
      <c r="H1275" s="1" t="inlineStr">
        <is>
          <t>DESIGN</t>
        </is>
      </c>
      <c r="I1275" s="1" t="inlineStr">
        <is>
          <t>SRC</t>
        </is>
      </c>
      <c r="J1275" s="1" t="inlineStr">
        <is>
          <t>AIK-SRC2K</t>
        </is>
      </c>
      <c r="K1275" s="1">
        <f>_xlfn.XLOOKUP(F804,'PARAMETER 공통'!$B$4:$B$53,'PARAMETER 공통'!$D$4:$D$53,,0,1)</f>
        <v/>
      </c>
      <c r="L1275" s="1">
        <f>_xlfn.TEXTJOIN("/",TRUE,H804,I804,J804,K804)</f>
        <v/>
      </c>
      <c r="M1275" s="1" t="n"/>
      <c r="N1275" s="1" t="inlineStr">
        <is>
          <t>progress</t>
        </is>
      </c>
      <c r="O1275" s="1" t="n"/>
      <c r="P1275" s="1" t="n"/>
      <c r="Q1275" s="1" t="n"/>
      <c r="R1275" s="1" t="n"/>
      <c r="S1275" s="1" t="n"/>
      <c r="T1275" s="1" t="inlineStr">
        <is>
          <t>progress</t>
        </is>
      </c>
      <c r="U1275" s="1" t="inlineStr">
        <is>
          <t>개발</t>
        </is>
      </c>
      <c r="V1275" s="1" t="n">
        <v>3</v>
      </c>
      <c r="Z1275">
        <f>IF(OR(K804="",K804="TABLE"),"",
_xlfn.TEXTJOIN(", ",TRUE,
IF(E804&lt;&gt;"",E804&amp;K804,""),
IF(F804&lt;&gt;"",F804&amp;K804,""),
IF(G804&lt;&gt;"",G804&amp;K804,"")
))</f>
        <v/>
      </c>
      <c r="AA1275">
        <f>IF(K804="","",IF(K804="TABLE","",K804))</f>
        <v/>
      </c>
      <c r="AB1275">
        <f>IF(ISNUMBER(SEARCH("기존변경필요",SUBSTITUTE(TRIM(V804),CHAR(10)," "))),"",
IFERROR(
  _xlfn.XLOOKUP(AA804,'기존 end point'!B:B,'기존 end point'!B:B,,0),
""))</f>
        <v/>
      </c>
    </row>
    <row r="1276">
      <c r="B1276" s="1" t="n"/>
      <c r="C1276" s="1" t="inlineStr">
        <is>
          <t>SRC Design</t>
        </is>
      </c>
      <c r="D1276" s="1" t="inlineStr">
        <is>
          <t>Design Input Data</t>
        </is>
      </c>
      <c r="E1276" s="1" t="inlineStr">
        <is>
          <t>Design Parameters</t>
        </is>
      </c>
      <c r="F1276" s="2" t="inlineStr">
        <is>
          <t>Member Assignment</t>
        </is>
      </c>
      <c r="G1276" s="1" t="n"/>
      <c r="H1276" s="1" t="inlineStr">
        <is>
          <t>DESIGN</t>
        </is>
      </c>
      <c r="I1276" s="1" t="inlineStr">
        <is>
          <t>SRC</t>
        </is>
      </c>
      <c r="J1276" s="1" t="inlineStr">
        <is>
          <t>AIK-SRC2K</t>
        </is>
      </c>
      <c r="K1276" s="1">
        <f>_xlfn.XLOOKUP(F805,'PARAMETER 공통'!$B$4:$B$53,'PARAMETER 공통'!$D$4:$D$53,,0,1)</f>
        <v/>
      </c>
      <c r="L1276" s="1">
        <f>_xlfn.TEXTJOIN("/",TRUE,H805,I805,J805,K805)</f>
        <v/>
      </c>
      <c r="M1276" s="1" t="n"/>
      <c r="N1276" s="1" t="inlineStr">
        <is>
          <t>done</t>
        </is>
      </c>
      <c r="O1276" s="1" t="n"/>
      <c r="P1276" s="1" t="n"/>
      <c r="Q1276" s="1" t="n"/>
      <c r="R1276" s="1" t="n"/>
      <c r="S1276" s="1" t="inlineStr">
        <is>
          <t>warning</t>
        </is>
      </c>
      <c r="T1276" s="1" t="inlineStr">
        <is>
          <t>Done</t>
        </is>
      </c>
      <c r="U1276" s="1" t="n"/>
      <c r="V1276" s="1" t="inlineStr">
        <is>
          <t>기존변경필요</t>
        </is>
      </c>
      <c r="Z1276">
        <f>IF(OR(K805="",K805="TABLE"),"",
_xlfn.TEXTJOIN(", ",TRUE,
IF(E805&lt;&gt;"",E805&amp;K805,""),
IF(F805&lt;&gt;"",F805&amp;K805,""),
IF(G805&lt;&gt;"",G805&amp;K805,"")
))</f>
        <v/>
      </c>
      <c r="AA1276">
        <f>IF(K805="","",IF(K805="TABLE","",K805))</f>
        <v/>
      </c>
      <c r="AB1276">
        <f>IF(ISNUMBER(SEARCH("기존변경필요",SUBSTITUTE(TRIM(V805),CHAR(10)," "))),"",
IFERROR(
  _xlfn.XLOOKUP(AA805,'기존 end point'!B:B,'기존 end point'!B:B,,0),
""))</f>
        <v/>
      </c>
    </row>
    <row r="1277">
      <c r="B1277" s="1" t="n"/>
      <c r="C1277" s="1" t="inlineStr">
        <is>
          <t>SRC Design</t>
        </is>
      </c>
      <c r="D1277" s="1" t="inlineStr">
        <is>
          <t>Design Input Data</t>
        </is>
      </c>
      <c r="E1277" s="1" t="inlineStr">
        <is>
          <t>Design Parameters</t>
        </is>
      </c>
      <c r="F1277" s="1" t="inlineStr">
        <is>
          <t>Reverse Member Load Direction</t>
        </is>
      </c>
      <c r="G1277" s="1" t="n"/>
      <c r="H1277" s="1" t="inlineStr">
        <is>
          <t>DESIGN</t>
        </is>
      </c>
      <c r="I1277" s="1" t="inlineStr">
        <is>
          <t>SRC</t>
        </is>
      </c>
      <c r="J1277" s="1" t="inlineStr">
        <is>
          <t>AIK-SRC2K</t>
        </is>
      </c>
      <c r="K1277" s="1">
        <f>_xlfn.XLOOKUP(F806,'PARAMETER 공통'!$B$4:$B$53,'PARAMETER 공통'!$D$4:$D$53,,0,1)</f>
        <v/>
      </c>
      <c r="L1277" s="1">
        <f>_xlfn.TEXTJOIN("/",TRUE,H806,I806,J806,K806)</f>
        <v/>
      </c>
      <c r="M1277" s="1" t="n"/>
      <c r="N1277" s="1" t="inlineStr">
        <is>
          <t>progress</t>
        </is>
      </c>
      <c r="O1277" s="1" t="n"/>
      <c r="P1277" s="1" t="n"/>
      <c r="Q1277" s="1" t="n"/>
      <c r="R1277" s="1" t="n"/>
      <c r="S1277" s="1" t="n"/>
      <c r="T1277" s="11" t="inlineStr">
        <is>
          <t>cancel</t>
        </is>
      </c>
      <c r="U1277" s="7" t="n"/>
      <c r="V1277" s="7" t="inlineStr">
        <is>
          <t>MEMB와 동일한 기능</t>
        </is>
      </c>
      <c r="Z1277">
        <f>IF(OR(K806="",K806="TABLE"),"",
_xlfn.TEXTJOIN(", ",TRUE,
IF(E806&lt;&gt;"",E806&amp;K806,""),
IF(F806&lt;&gt;"",F806&amp;K806,""),
IF(G806&lt;&gt;"",G806&amp;K806,"")
))</f>
        <v/>
      </c>
      <c r="AA1277">
        <f>IF(K806="","",IF(K806="TABLE","",K806))</f>
        <v/>
      </c>
      <c r="AB1277">
        <f>IF(ISNUMBER(SEARCH("기존변경필요",SUBSTITUTE(TRIM(V806),CHAR(10)," "))),"",
IFERROR(
  _xlfn.XLOOKUP(AA806,'기존 end point'!B:B,'기존 end point'!B:B,,0),
""))</f>
        <v/>
      </c>
    </row>
    <row r="1278">
      <c r="B1278" s="1" t="n"/>
      <c r="C1278" s="1" t="inlineStr">
        <is>
          <t>SRC Design</t>
        </is>
      </c>
      <c r="D1278" s="1" t="inlineStr">
        <is>
          <t>Design Input Data</t>
        </is>
      </c>
      <c r="E1278" s="1" t="inlineStr">
        <is>
          <t>Design Parameters</t>
        </is>
      </c>
      <c r="F1278" s="1" t="inlineStr">
        <is>
          <t>Unbraced Length (L, Lb)</t>
        </is>
      </c>
      <c r="G1278" s="1" t="n"/>
      <c r="H1278" s="1" t="inlineStr">
        <is>
          <t>DESIGN</t>
        </is>
      </c>
      <c r="I1278" s="1" t="inlineStr">
        <is>
          <t>SRC</t>
        </is>
      </c>
      <c r="J1278" s="1" t="inlineStr">
        <is>
          <t>AIK-SRC2K</t>
        </is>
      </c>
      <c r="K1278" s="1">
        <f>_xlfn.XLOOKUP(F807,'PARAMETER 공통'!$B$4:$B$53,'PARAMETER 공통'!$D$4:$D$53,,0,1)</f>
        <v/>
      </c>
      <c r="L1278" s="1">
        <f>_xlfn.TEXTJOIN("/",TRUE,H807,I807,J807,K807)</f>
        <v/>
      </c>
      <c r="M1278" s="1" t="n"/>
      <c r="N1278" s="1" t="inlineStr">
        <is>
          <t>done</t>
        </is>
      </c>
      <c r="O1278" s="1" t="n"/>
      <c r="P1278" s="1" t="n"/>
      <c r="Q1278" s="1" t="n"/>
      <c r="R1278" s="1" t="n"/>
      <c r="S1278" s="1" t="inlineStr">
        <is>
          <t>warning</t>
        </is>
      </c>
      <c r="T1278" s="1" t="inlineStr">
        <is>
          <t>Done</t>
        </is>
      </c>
      <c r="U1278" s="1" t="n"/>
      <c r="V1278" s="1" t="inlineStr">
        <is>
          <t>기존변경필요</t>
        </is>
      </c>
      <c r="Z1278">
        <f>IF(OR(K807="",K807="TABLE"),"",
_xlfn.TEXTJOIN(", ",TRUE,
IF(E807&lt;&gt;"",E807&amp;K807,""),
IF(F807&lt;&gt;"",F807&amp;K807,""),
IF(G807&lt;&gt;"",G807&amp;K807,"")
))</f>
        <v/>
      </c>
      <c r="AA1278">
        <f>IF(K807="","",IF(K807="TABLE","",K807))</f>
        <v/>
      </c>
      <c r="AB1278">
        <f>IF(ISNUMBER(SEARCH("기존변경필요",SUBSTITUTE(TRIM(V807),CHAR(10)," "))),"",
IFERROR(
  _xlfn.XLOOKUP(AA807,'기존 end point'!B:B,'기존 end point'!B:B,,0),
""))</f>
        <v/>
      </c>
    </row>
    <row r="1279">
      <c r="B1279" s="1" t="n"/>
      <c r="C1279" s="1" t="inlineStr">
        <is>
          <t>SRC Design</t>
        </is>
      </c>
      <c r="D1279" s="1" t="inlineStr">
        <is>
          <t>Design Input Data</t>
        </is>
      </c>
      <c r="E1279" s="1" t="inlineStr">
        <is>
          <t>Design Parameters</t>
        </is>
      </c>
      <c r="F1279" s="1" t="inlineStr">
        <is>
          <t>Effective Length Factor (K)</t>
        </is>
      </c>
      <c r="G1279" s="1" t="n"/>
      <c r="H1279" s="1" t="inlineStr">
        <is>
          <t>DESIGN</t>
        </is>
      </c>
      <c r="I1279" s="1" t="inlineStr">
        <is>
          <t>SRC</t>
        </is>
      </c>
      <c r="J1279" s="1" t="inlineStr">
        <is>
          <t>AIK-SRC2K</t>
        </is>
      </c>
      <c r="K1279" s="1">
        <f>_xlfn.XLOOKUP(F808,'PARAMETER 공통'!$B$4:$B$53,'PARAMETER 공통'!$D$4:$D$53,,0,1)</f>
        <v/>
      </c>
      <c r="L1279" s="1">
        <f>_xlfn.TEXTJOIN("/",TRUE,H808,I808,J808,K808)</f>
        <v/>
      </c>
      <c r="M1279" s="1" t="n"/>
      <c r="N1279" s="1" t="inlineStr">
        <is>
          <t>progress</t>
        </is>
      </c>
      <c r="O1279" s="1" t="n"/>
      <c r="P1279" s="1" t="n"/>
      <c r="Q1279" s="1" t="n"/>
      <c r="R1279" s="1" t="n"/>
      <c r="S1279" s="1" t="n"/>
      <c r="T1279" s="1" t="inlineStr">
        <is>
          <t>progress</t>
        </is>
      </c>
      <c r="U1279" s="1" t="n"/>
      <c r="V1279" s="1" t="inlineStr">
        <is>
          <t>기존변경필요</t>
        </is>
      </c>
      <c r="Z1279">
        <f>IF(OR(K808="",K808="TABLE"),"",
_xlfn.TEXTJOIN(", ",TRUE,
IF(E808&lt;&gt;"",E808&amp;K808,""),
IF(F808&lt;&gt;"",F808&amp;K808,""),
IF(G808&lt;&gt;"",G808&amp;K808,"")
))</f>
        <v/>
      </c>
      <c r="AA1279">
        <f>IF(K808="","",IF(K808="TABLE","",K808))</f>
        <v/>
      </c>
      <c r="AB1279">
        <f>IF(ISNUMBER(SEARCH("기존변경필요",SUBSTITUTE(TRIM(V808),CHAR(10)," "))),"",
IFERROR(
  _xlfn.XLOOKUP(AA808,'기존 end point'!B:B,'기존 end point'!B:B,,0),
""))</f>
        <v/>
      </c>
    </row>
    <row r="1280">
      <c r="B1280" s="1" t="n"/>
      <c r="C1280" s="1" t="inlineStr">
        <is>
          <t>SRC Design</t>
        </is>
      </c>
      <c r="D1280" s="1" t="inlineStr">
        <is>
          <t>Design Input Data</t>
        </is>
      </c>
      <c r="E1280" s="1" t="inlineStr">
        <is>
          <t>Design Parameters</t>
        </is>
      </c>
      <c r="F1280" s="1" t="inlineStr">
        <is>
          <t>Limiting Slenderness Ratio</t>
        </is>
      </c>
      <c r="G1280" s="1" t="n"/>
      <c r="H1280" s="1" t="inlineStr">
        <is>
          <t>DESIGN</t>
        </is>
      </c>
      <c r="I1280" s="1" t="inlineStr">
        <is>
          <t>SRC</t>
        </is>
      </c>
      <c r="J1280" s="1" t="inlineStr">
        <is>
          <t>AIK-SRC2K</t>
        </is>
      </c>
      <c r="K1280" s="1">
        <f>_xlfn.XLOOKUP(F809,'PARAMETER 공통'!$B$4:$B$53,'PARAMETER 공통'!$D$4:$D$53,,0,1)</f>
        <v/>
      </c>
      <c r="L1280" s="1">
        <f>_xlfn.TEXTJOIN("/",TRUE,H809,I809,J809,K809)</f>
        <v/>
      </c>
      <c r="M1280" s="1" t="n"/>
      <c r="N1280" s="1" t="inlineStr">
        <is>
          <t>done</t>
        </is>
      </c>
      <c r="O1280" s="1" t="n"/>
      <c r="P1280" s="1" t="n"/>
      <c r="Q1280" s="1" t="n"/>
      <c r="R1280" s="1" t="n"/>
      <c r="S1280" s="1" t="inlineStr">
        <is>
          <t>warning</t>
        </is>
      </c>
      <c r="T1280" s="1" t="inlineStr">
        <is>
          <t>Done</t>
        </is>
      </c>
      <c r="U1280" s="1" t="n"/>
      <c r="V1280" s="1" t="inlineStr">
        <is>
          <t>기존변경필요</t>
        </is>
      </c>
      <c r="Z1280">
        <f>IF(OR(K809="",K809="TABLE"),"",
_xlfn.TEXTJOIN(", ",TRUE,
IF(E809&lt;&gt;"",E809&amp;K809,""),
IF(F809&lt;&gt;"",F809&amp;K809,""),
IF(G809&lt;&gt;"",G809&amp;K809,"")
))</f>
        <v/>
      </c>
      <c r="AA1280">
        <f>IF(K809="","",IF(K809="TABLE","",K809))</f>
        <v/>
      </c>
      <c r="AB1280">
        <f>IF(ISNUMBER(SEARCH("기존변경필요",SUBSTITUTE(TRIM(V809),CHAR(10)," "))),"",
IFERROR(
  _xlfn.XLOOKUP(AA809,'기존 end point'!B:B,'기존 end point'!B:B,,0),
""))</f>
        <v/>
      </c>
    </row>
    <row r="1281">
      <c r="B1281" s="1" t="n"/>
      <c r="C1281" s="1" t="inlineStr">
        <is>
          <t>SRC Design</t>
        </is>
      </c>
      <c r="D1281" s="1" t="inlineStr">
        <is>
          <t>Design Input Data</t>
        </is>
      </c>
      <c r="E1281" s="1" t="inlineStr">
        <is>
          <t>Design Parameters</t>
        </is>
      </c>
      <c r="F1281" s="1" t="inlineStr">
        <is>
          <t>Equivalent Moment Correction Factor(Cm)</t>
        </is>
      </c>
      <c r="G1281" s="1" t="n"/>
      <c r="H1281" s="1" t="inlineStr">
        <is>
          <t>DESIGN</t>
        </is>
      </c>
      <c r="I1281" s="1" t="inlineStr">
        <is>
          <t>SRC</t>
        </is>
      </c>
      <c r="J1281" s="1" t="inlineStr">
        <is>
          <t>AIK-SRC2K</t>
        </is>
      </c>
      <c r="K1281" s="1">
        <f>_xlfn.XLOOKUP(F810,'PARAMETER 공통'!$B$4:$B$53,'PARAMETER 공통'!$D$4:$D$53,,0,1)</f>
        <v/>
      </c>
      <c r="L1281" s="1">
        <f>_xlfn.TEXTJOIN("/",TRUE,H810,I810,J810,K810)</f>
        <v/>
      </c>
      <c r="M1281" s="1" t="n"/>
      <c r="N1281" s="1" t="inlineStr">
        <is>
          <t>progress</t>
        </is>
      </c>
      <c r="O1281" s="1" t="n"/>
      <c r="P1281" s="1" t="n"/>
      <c r="Q1281" s="1" t="n"/>
      <c r="R1281" s="1" t="n"/>
      <c r="S1281" s="1" t="n"/>
      <c r="T1281" s="1" t="inlineStr">
        <is>
          <t>progress</t>
        </is>
      </c>
      <c r="U1281" s="1" t="n"/>
      <c r="V1281" s="1" t="n">
        <v>1</v>
      </c>
      <c r="Z1281">
        <f>IF(OR(K810="",K810="TABLE"),"",
_xlfn.TEXTJOIN(", ",TRUE,
IF(E810&lt;&gt;"",E810&amp;K810,""),
IF(F810&lt;&gt;"",F810&amp;K810,""),
IF(G810&lt;&gt;"",G810&amp;K810,"")
))</f>
        <v/>
      </c>
      <c r="AA1281">
        <f>IF(K810="","",IF(K810="TABLE","",K810))</f>
        <v/>
      </c>
      <c r="AB1281">
        <f>IF(ISNUMBER(SEARCH("기존변경필요",SUBSTITUTE(TRIM(V810),CHAR(10)," "))),"",
IFERROR(
  _xlfn.XLOOKUP(AA810,'기존 end point'!B:B,'기존 end point'!B:B,,0),
""))</f>
        <v/>
      </c>
    </row>
    <row r="1282">
      <c r="B1282" s="1" t="n"/>
      <c r="C1282" s="1" t="inlineStr">
        <is>
          <t>SRC Design</t>
        </is>
      </c>
      <c r="D1282" s="1" t="inlineStr">
        <is>
          <t>Design Input Data</t>
        </is>
      </c>
      <c r="E1282" s="1" t="inlineStr">
        <is>
          <t>Design Parameters</t>
        </is>
      </c>
      <c r="F1282" s="1" t="inlineStr">
        <is>
          <t>Moment Magnifier(B1/Delta_b, B2/Delta_s)</t>
        </is>
      </c>
      <c r="G1282" s="1" t="n"/>
      <c r="H1282" s="1" t="inlineStr">
        <is>
          <t>DESIGN</t>
        </is>
      </c>
      <c r="I1282" s="1" t="inlineStr">
        <is>
          <t>SRC</t>
        </is>
      </c>
      <c r="J1282" s="1" t="inlineStr">
        <is>
          <t>AIK-SRC2K</t>
        </is>
      </c>
      <c r="K1282" s="1">
        <f>_xlfn.XLOOKUP(F811,'PARAMETER 공통'!$B$4:$B$53,'PARAMETER 공통'!$D$4:$D$53,,0,1)</f>
        <v/>
      </c>
      <c r="L1282" s="1">
        <f>_xlfn.TEXTJOIN("/",TRUE,H811,I811,J811,K811)</f>
        <v/>
      </c>
      <c r="M1282" s="1" t="n"/>
      <c r="N1282" s="1" t="inlineStr">
        <is>
          <t>progress</t>
        </is>
      </c>
      <c r="O1282" s="1" t="n"/>
      <c r="P1282" s="1" t="n"/>
      <c r="Q1282" s="1" t="n"/>
      <c r="R1282" s="1" t="n"/>
      <c r="S1282" s="1" t="n"/>
      <c r="T1282" s="1" t="inlineStr">
        <is>
          <t>progress</t>
        </is>
      </c>
      <c r="U1282" s="1" t="n"/>
      <c r="V1282" s="1" t="n">
        <v>1</v>
      </c>
      <c r="Z1282">
        <f>IF(OR(K811="",K811="TABLE"),"",
_xlfn.TEXTJOIN(", ",TRUE,
IF(E811&lt;&gt;"",E811&amp;K811,""),
IF(F811&lt;&gt;"",F811&amp;K811,""),
IF(G811&lt;&gt;"",G811&amp;K811,"")
))</f>
        <v/>
      </c>
      <c r="AA1282">
        <f>IF(K811="","",IF(K811="TABLE","",K811))</f>
        <v/>
      </c>
      <c r="AB1282">
        <f>IF(ISNUMBER(SEARCH("기존변경필요",SUBSTITUTE(TRIM(V811),CHAR(10)," "))),"",
IFERROR(
  _xlfn.XLOOKUP(AA811,'기존 end point'!B:B,'기존 end point'!B:B,,0),
""))</f>
        <v/>
      </c>
    </row>
    <row r="1283">
      <c r="B1283" s="1" t="n"/>
      <c r="C1283" s="1" t="inlineStr">
        <is>
          <t>SRC Design</t>
        </is>
      </c>
      <c r="D1283" s="1" t="inlineStr">
        <is>
          <t>Design Input Data</t>
        </is>
      </c>
      <c r="E1283" s="1" t="inlineStr">
        <is>
          <t>Design Parameters</t>
        </is>
      </c>
      <c r="F1283" s="1" t="inlineStr">
        <is>
          <t>Modify Live Load Reduction Factor</t>
        </is>
      </c>
      <c r="G1283" s="1" t="n"/>
      <c r="H1283" s="1" t="inlineStr">
        <is>
          <t>DESIGN</t>
        </is>
      </c>
      <c r="I1283" s="1" t="inlineStr">
        <is>
          <t>SRC</t>
        </is>
      </c>
      <c r="J1283" s="1" t="inlineStr">
        <is>
          <t>AIK-SRC2K</t>
        </is>
      </c>
      <c r="K1283" s="1">
        <f>_xlfn.XLOOKUP(F812,'PARAMETER 공통'!$B$4:$B$53,'PARAMETER 공통'!$D$4:$D$53,,0,1)</f>
        <v/>
      </c>
      <c r="L1283" s="1">
        <f>_xlfn.TEXTJOIN("/",TRUE,H812,I812,J812,K812)</f>
        <v/>
      </c>
      <c r="M1283" s="1" t="n"/>
      <c r="N1283" s="1" t="inlineStr">
        <is>
          <t>progress</t>
        </is>
      </c>
      <c r="O1283" s="1" t="n"/>
      <c r="P1283" s="1" t="n"/>
      <c r="Q1283" s="1" t="n"/>
      <c r="R1283" s="1" t="n"/>
      <c r="S1283" s="1" t="n"/>
      <c r="T1283" s="1" t="inlineStr">
        <is>
          <t>progress</t>
        </is>
      </c>
      <c r="U1283" s="1" t="n"/>
      <c r="V1283" s="1" t="n">
        <v>1</v>
      </c>
      <c r="Z1283">
        <f>IF(OR(K812="",K812="TABLE"),"",
_xlfn.TEXTJOIN(", ",TRUE,
IF(E812&lt;&gt;"",E812&amp;K812,""),
IF(F812&lt;&gt;"",F812&amp;K812,""),
IF(G812&lt;&gt;"",G812&amp;K812,"")
))</f>
        <v/>
      </c>
      <c r="AA1283">
        <f>IF(K812="","",IF(K812="TABLE","",K812))</f>
        <v/>
      </c>
      <c r="AB1283">
        <f>IF(ISNUMBER(SEARCH("기존변경필요",SUBSTITUTE(TRIM(V812),CHAR(10)," "))),"",
IFERROR(
  _xlfn.XLOOKUP(AA812,'기존 end point'!B:B,'기존 end point'!B:B,,0),
""))</f>
        <v/>
      </c>
    </row>
    <row r="1284">
      <c r="B1284" s="1" t="n"/>
      <c r="C1284" s="1" t="inlineStr">
        <is>
          <t>SRC Design</t>
        </is>
      </c>
      <c r="D1284" s="1" t="inlineStr">
        <is>
          <t>Design Input Data</t>
        </is>
      </c>
      <c r="E1284" s="1" t="inlineStr">
        <is>
          <t>Design Parameters</t>
        </is>
      </c>
      <c r="F1284" s="1" t="inlineStr">
        <is>
          <t>Scale up Factor for Earthquake</t>
        </is>
      </c>
      <c r="G1284" s="1" t="n"/>
      <c r="H1284" s="1" t="inlineStr">
        <is>
          <t>DESIGN</t>
        </is>
      </c>
      <c r="I1284" s="1" t="inlineStr">
        <is>
          <t>SRC</t>
        </is>
      </c>
      <c r="J1284" s="1" t="inlineStr">
        <is>
          <t>AIK-SRC2K</t>
        </is>
      </c>
      <c r="K1284" s="1">
        <f>_xlfn.XLOOKUP(F813,'PARAMETER 공통'!$B$4:$B$53,'PARAMETER 공통'!$D$4:$D$53,,0,1)</f>
        <v/>
      </c>
      <c r="L1284" s="1">
        <f>_xlfn.TEXTJOIN("/",TRUE,H813,I813,J813,K813)</f>
        <v/>
      </c>
      <c r="M1284" s="1" t="n"/>
      <c r="N1284" s="1" t="inlineStr">
        <is>
          <t>progress</t>
        </is>
      </c>
      <c r="O1284" s="1" t="n"/>
      <c r="P1284" s="1" t="n"/>
      <c r="Q1284" s="1" t="n"/>
      <c r="R1284" s="1" t="n"/>
      <c r="S1284" s="1" t="n"/>
      <c r="T1284" s="1" t="inlineStr">
        <is>
          <t>progress</t>
        </is>
      </c>
      <c r="U1284" s="1" t="n"/>
      <c r="V1284" s="1" t="n">
        <v>1</v>
      </c>
      <c r="Z1284">
        <f>IF(OR(K813="",K813="TABLE"),"",
_xlfn.TEXTJOIN(", ",TRUE,
IF(E813&lt;&gt;"",E813&amp;K813,""),
IF(F813&lt;&gt;"",F813&amp;K813,""),
IF(G813&lt;&gt;"",G813&amp;K813,"")
))</f>
        <v/>
      </c>
      <c r="AA1284">
        <f>IF(K813="","",IF(K813="TABLE","",K813))</f>
        <v/>
      </c>
      <c r="AB1284">
        <f>IF(ISNUMBER(SEARCH("기존변경필요",SUBSTITUTE(TRIM(V813),CHAR(10)," "))),"",
IFERROR(
  _xlfn.XLOOKUP(AA813,'기존 end point'!B:B,'기존 end point'!B:B,,0),
""))</f>
        <v/>
      </c>
    </row>
    <row r="1285">
      <c r="B1285" s="1" t="n"/>
      <c r="C1285" s="1" t="inlineStr">
        <is>
          <t>SRC Design</t>
        </is>
      </c>
      <c r="D1285" s="1" t="inlineStr">
        <is>
          <t>Design Input Data</t>
        </is>
      </c>
      <c r="E1285" s="1" t="inlineStr">
        <is>
          <t>Design Parameters</t>
        </is>
      </c>
      <c r="F1285" s="1" t="inlineStr">
        <is>
          <t>Modify Member Type</t>
        </is>
      </c>
      <c r="G1285" s="1" t="n"/>
      <c r="H1285" s="1" t="inlineStr">
        <is>
          <t>DESIGN</t>
        </is>
      </c>
      <c r="I1285" s="1" t="inlineStr">
        <is>
          <t>SRC</t>
        </is>
      </c>
      <c r="J1285" s="1" t="inlineStr">
        <is>
          <t>AIK-SRC2K</t>
        </is>
      </c>
      <c r="K1285" s="1">
        <f>_xlfn.XLOOKUP(F814,'PARAMETER 공통'!$B$4:$B$53,'PARAMETER 공통'!$D$4:$D$53,,0,1)</f>
        <v/>
      </c>
      <c r="L1285" s="1">
        <f>_xlfn.TEXTJOIN("/",TRUE,H814,I814,J814,K814)</f>
        <v/>
      </c>
      <c r="M1285" s="1" t="n"/>
      <c r="N1285" s="1" t="inlineStr">
        <is>
          <t>done</t>
        </is>
      </c>
      <c r="O1285" s="1" t="n"/>
      <c r="P1285" s="1" t="n"/>
      <c r="Q1285" s="1" t="n"/>
      <c r="R1285" s="1" t="n"/>
      <c r="S1285" s="1" t="inlineStr">
        <is>
          <t>warning</t>
        </is>
      </c>
      <c r="T1285" s="1" t="inlineStr">
        <is>
          <t>Done</t>
        </is>
      </c>
      <c r="U1285" s="1" t="n"/>
      <c r="V1285" s="1" t="inlineStr">
        <is>
          <t>기존변경필요</t>
        </is>
      </c>
      <c r="Z1285">
        <f>IF(OR(K814="",K814="TABLE"),"",
_xlfn.TEXTJOIN(", ",TRUE,
IF(E814&lt;&gt;"",E814&amp;K814,""),
IF(F814&lt;&gt;"",F814&amp;K814,""),
IF(G814&lt;&gt;"",G814&amp;K814,"")
))</f>
        <v/>
      </c>
      <c r="AA1285">
        <f>IF(K814="","",IF(K814="TABLE","",K814))</f>
        <v/>
      </c>
      <c r="AB1285">
        <f>IF(ISNUMBER(SEARCH("기존변경필요",SUBSTITUTE(TRIM(V814),CHAR(10)," "))),"",
IFERROR(
  _xlfn.XLOOKUP(AA814,'기존 end point'!B:B,'기존 end point'!B:B,,0),
""))</f>
        <v/>
      </c>
    </row>
    <row r="1286">
      <c r="B1286" s="1" t="n"/>
      <c r="C1286" s="1" t="inlineStr">
        <is>
          <t>SRC Design</t>
        </is>
      </c>
      <c r="D1286" s="1" t="inlineStr">
        <is>
          <t>Design Input Data</t>
        </is>
      </c>
      <c r="E1286" s="1" t="inlineStr">
        <is>
          <t>Design Parameters</t>
        </is>
      </c>
      <c r="F1286" s="1" t="inlineStr">
        <is>
          <t>Seismic Load Combination Type</t>
        </is>
      </c>
      <c r="G1286" s="1" t="n"/>
      <c r="H1286" s="1" t="inlineStr">
        <is>
          <t>DESIGN</t>
        </is>
      </c>
      <c r="I1286" s="1" t="inlineStr">
        <is>
          <t>SRC</t>
        </is>
      </c>
      <c r="J1286" s="1" t="inlineStr">
        <is>
          <t>AIK-SRC2K</t>
        </is>
      </c>
      <c r="K1286" s="1">
        <f>_xlfn.XLOOKUP(F815,'PARAMETER 공통'!$B$4:$B$53,'PARAMETER 공통'!$D$4:$D$53,,0,1)</f>
        <v/>
      </c>
      <c r="L1286" s="1">
        <f>_xlfn.TEXTJOIN("/",TRUE,H815,I815,J815,K815)</f>
        <v/>
      </c>
      <c r="M1286" s="1" t="n"/>
      <c r="N1286" s="1" t="inlineStr">
        <is>
          <t>progress</t>
        </is>
      </c>
      <c r="O1286" s="1" t="n"/>
      <c r="P1286" s="1" t="n"/>
      <c r="Q1286" s="1" t="n"/>
      <c r="R1286" s="1" t="n"/>
      <c r="S1286" s="1" t="n"/>
      <c r="T1286" s="1" t="inlineStr">
        <is>
          <t>progress</t>
        </is>
      </c>
      <c r="U1286" s="1" t="n"/>
      <c r="V1286" s="1" t="n">
        <v>1</v>
      </c>
      <c r="Z1286">
        <f>IF(OR(K815="",K815="TABLE"),"",
_xlfn.TEXTJOIN(", ",TRUE,
IF(E815&lt;&gt;"",E815&amp;K815,""),
IF(F815&lt;&gt;"",F815&amp;K815,""),
IF(G815&lt;&gt;"",G815&amp;K815,"")
))</f>
        <v/>
      </c>
      <c r="AA1286">
        <f>IF(K815="","",IF(K815="TABLE","",K815))</f>
        <v/>
      </c>
      <c r="AB1286">
        <f>IF(ISNUMBER(SEARCH("기존변경필요",SUBSTITUTE(TRIM(V815),CHAR(10)," "))),"",
IFERROR(
  _xlfn.XLOOKUP(AA815,'기존 end point'!B:B,'기존 end point'!B:B,,0),
""))</f>
        <v/>
      </c>
    </row>
    <row r="1287">
      <c r="B1287" s="1" t="n"/>
      <c r="C1287" s="1" t="inlineStr">
        <is>
          <t>SRC Design</t>
        </is>
      </c>
      <c r="D1287" s="1" t="inlineStr">
        <is>
          <t>Design Input Data</t>
        </is>
      </c>
      <c r="E1287" s="1" t="inlineStr">
        <is>
          <t>Modify SRC Material</t>
        </is>
      </c>
      <c r="F1287" s="1" t="n"/>
      <c r="G1287" s="1" t="n"/>
      <c r="H1287" s="1" t="inlineStr">
        <is>
          <t>DESIGN</t>
        </is>
      </c>
      <c r="I1287" s="1" t="inlineStr">
        <is>
          <t>SRC</t>
        </is>
      </c>
      <c r="J1287" s="1" t="inlineStr">
        <is>
          <t>AIK-SRC2K</t>
        </is>
      </c>
      <c r="K1287" s="10" t="inlineStr">
        <is>
          <t>MATD</t>
        </is>
      </c>
      <c r="L1287" s="1">
        <f>_xlfn.TEXTJOIN("/",TRUE,H816,I816,J816,K816)</f>
        <v/>
      </c>
      <c r="M1287" s="1" t="n"/>
      <c r="N1287" s="1" t="inlineStr">
        <is>
          <t>progress</t>
        </is>
      </c>
      <c r="O1287" s="1" t="n"/>
      <c r="P1287" s="1" t="n"/>
      <c r="Q1287" s="1" t="n"/>
      <c r="R1287" s="1" t="n"/>
      <c r="S1287" s="1" t="n"/>
      <c r="T1287" s="1" t="inlineStr">
        <is>
          <t>progress</t>
        </is>
      </c>
      <c r="U1287" s="1" t="n"/>
      <c r="V1287" s="1" t="inlineStr">
        <is>
          <t>기존변경필요</t>
        </is>
      </c>
      <c r="Z1287">
        <f>IF(OR(K816="",K816="TABLE"),"",
_xlfn.TEXTJOIN(", ",TRUE,
IF(E816&lt;&gt;"",E816&amp;K816,""),
IF(F816&lt;&gt;"",F816&amp;K816,""),
IF(G816&lt;&gt;"",G816&amp;K816,"")
))</f>
        <v/>
      </c>
      <c r="AA1287">
        <f>IF(K816="","",IF(K816="TABLE","",K816))</f>
        <v/>
      </c>
      <c r="AB1287">
        <f>IF(ISNUMBER(SEARCH("기존변경필요",SUBSTITUTE(TRIM(V816),CHAR(10)," "))),"",
IFERROR(
  _xlfn.XLOOKUP(AA816,'기존 end point'!B:B,'기존 end point'!B:B,,0),
""))</f>
        <v/>
      </c>
    </row>
    <row r="1288">
      <c r="B1288" s="1" t="n"/>
      <c r="C1288" s="1" t="inlineStr">
        <is>
          <t>SRC Design</t>
        </is>
      </c>
      <c r="D1288" s="1" t="inlineStr">
        <is>
          <t>Design Input Data</t>
        </is>
      </c>
      <c r="E1288" s="1" t="inlineStr">
        <is>
          <t>Rebar Data</t>
        </is>
      </c>
      <c r="F1288" s="1" t="inlineStr">
        <is>
          <t>Modify SRC Beam Section Data</t>
        </is>
      </c>
      <c r="G1288" s="1" t="n"/>
      <c r="H1288" s="1" t="inlineStr">
        <is>
          <t>DESIGN</t>
        </is>
      </c>
      <c r="I1288" s="1" t="inlineStr">
        <is>
          <t>SRC</t>
        </is>
      </c>
      <c r="J1288" s="1" t="inlineStr">
        <is>
          <t>AIK-SRC2K</t>
        </is>
      </c>
      <c r="K1288" s="10" t="inlineStr">
        <is>
          <t>MRBD</t>
        </is>
      </c>
      <c r="L1288" s="1">
        <f>_xlfn.TEXTJOIN("/",TRUE,H817,I817,J817,K817)</f>
        <v/>
      </c>
      <c r="M1288" s="1" t="n"/>
      <c r="N1288" s="1" t="inlineStr">
        <is>
          <t>progress</t>
        </is>
      </c>
      <c r="O1288" s="1" t="n"/>
      <c r="P1288" s="1" t="n"/>
      <c r="Q1288" s="1" t="n"/>
      <c r="R1288" s="1" t="n"/>
      <c r="S1288" s="1" t="n"/>
      <c r="T1288" s="1" t="inlineStr">
        <is>
          <t>progress</t>
        </is>
      </c>
      <c r="U1288" s="1" t="n"/>
      <c r="V1288" s="1" t="n">
        <v>1</v>
      </c>
      <c r="Z1288">
        <f>IF(OR(K817="",K817="TABLE"),"",
_xlfn.TEXTJOIN(", ",TRUE,
IF(E817&lt;&gt;"",E817&amp;K817,""),
IF(F817&lt;&gt;"",F817&amp;K817,""),
IF(G817&lt;&gt;"",G817&amp;K817,"")
))</f>
        <v/>
      </c>
      <c r="AA1288">
        <f>IF(K817="","",IF(K817="TABLE","",K817))</f>
        <v/>
      </c>
      <c r="AB1288">
        <f>IF(ISNUMBER(SEARCH("기존변경필요",SUBSTITUTE(TRIM(V817),CHAR(10)," "))),"",
IFERROR(
  _xlfn.XLOOKUP(AA817,'기존 end point'!B:B,'기존 end point'!B:B,,0),
""))</f>
        <v/>
      </c>
    </row>
    <row r="1289">
      <c r="B1289" s="1" t="n"/>
      <c r="C1289" s="1" t="inlineStr">
        <is>
          <t>SRC Design</t>
        </is>
      </c>
      <c r="D1289" s="1" t="inlineStr">
        <is>
          <t>Design Input Data</t>
        </is>
      </c>
      <c r="E1289" s="1" t="inlineStr">
        <is>
          <t>Rebar Data</t>
        </is>
      </c>
      <c r="F1289" s="1" t="inlineStr">
        <is>
          <t>Modify SRC Column Section Data</t>
        </is>
      </c>
      <c r="G1289" s="1" t="n"/>
      <c r="H1289" s="1" t="inlineStr">
        <is>
          <t>DESIGN</t>
        </is>
      </c>
      <c r="I1289" s="1" t="inlineStr">
        <is>
          <t>SRC</t>
        </is>
      </c>
      <c r="J1289" s="1" t="inlineStr">
        <is>
          <t>AIK-SRC2K</t>
        </is>
      </c>
      <c r="K1289" s="10" t="inlineStr">
        <is>
          <t>MCRD</t>
        </is>
      </c>
      <c r="L1289" s="1">
        <f>_xlfn.TEXTJOIN("/",TRUE,H818,I818,J818,K818)</f>
        <v/>
      </c>
      <c r="M1289" s="1" t="n"/>
      <c r="N1289" s="1" t="inlineStr">
        <is>
          <t>progress</t>
        </is>
      </c>
      <c r="O1289" s="1" t="n"/>
      <c r="P1289" s="1" t="n"/>
      <c r="Q1289" s="1" t="n"/>
      <c r="R1289" s="1" t="n"/>
      <c r="S1289" s="1" t="n"/>
      <c r="T1289" s="1" t="inlineStr">
        <is>
          <t>progress</t>
        </is>
      </c>
      <c r="U1289" s="1" t="n"/>
      <c r="V1289" s="1" t="n">
        <v>1</v>
      </c>
      <c r="Z1289">
        <f>IF(OR(K818="",K818="TABLE"),"",
_xlfn.TEXTJOIN(", ",TRUE,
IF(E818&lt;&gt;"",E818&amp;K818,""),
IF(F818&lt;&gt;"",F818&amp;K818,""),
IF(G818&lt;&gt;"",G818&amp;K818,"")
))</f>
        <v/>
      </c>
      <c r="AA1289">
        <f>IF(K818="","",IF(K818="TABLE","",K818))</f>
        <v/>
      </c>
      <c r="AB1289">
        <f>IF(ISNUMBER(SEARCH("기존변경필요",SUBSTITUTE(TRIM(V818),CHAR(10)," "))),"",
IFERROR(
  _xlfn.XLOOKUP(AA818,'기존 end point'!B:B,'기존 end point'!B:B,,0),
""))</f>
        <v/>
      </c>
    </row>
    <row r="1290">
      <c r="A1290" s="6" t="n">
        <v>800</v>
      </c>
      <c r="B1290" s="7" t="n"/>
      <c r="C1290" s="7" t="inlineStr">
        <is>
          <t>SRC Design</t>
        </is>
      </c>
      <c r="D1290" s="7" t="inlineStr">
        <is>
          <t>Table</t>
        </is>
      </c>
      <c r="E1290" s="7" t="inlineStr">
        <is>
          <t>Parameter Tables</t>
        </is>
      </c>
      <c r="F1290" s="7" t="inlineStr">
        <is>
          <t>Unbraced Length (L, Lb)</t>
        </is>
      </c>
      <c r="G1290" s="7" t="n"/>
      <c r="H1290" s="7" t="inlineStr">
        <is>
          <t>DESIGN</t>
        </is>
      </c>
      <c r="I1290" s="7" t="inlineStr">
        <is>
          <t>SRC</t>
        </is>
      </c>
      <c r="J1290" s="7" t="inlineStr">
        <is>
          <t>AIK-SRC2K</t>
        </is>
      </c>
      <c r="K1290" s="7" t="n"/>
      <c r="L1290" s="12" t="n"/>
      <c r="M1290" s="12" t="n"/>
      <c r="N1290" s="12" t="n"/>
      <c r="O1290" s="12" t="n"/>
      <c r="P1290" s="12" t="n"/>
      <c r="Q1290" s="12" t="n"/>
      <c r="R1290" s="12" t="n"/>
      <c r="S1290" s="12" t="n"/>
      <c r="T1290" s="9" t="inlineStr">
        <is>
          <t>cancel</t>
        </is>
      </c>
      <c r="U1290" s="2" t="n"/>
      <c r="V1290" s="1" t="inlineStr">
        <is>
          <t>(공통) GET 메서드에 동작</t>
        </is>
      </c>
      <c r="Z1290">
        <f>IF(OR(K819="",K819="TABLE"),"",
_xlfn.TEXTJOIN(", ",TRUE,
IF(E819&lt;&gt;"",E819&amp;K819,""),
IF(F819&lt;&gt;"",F819&amp;K819,""),
IF(G819&lt;&gt;"",G819&amp;K819,"")
))</f>
        <v/>
      </c>
      <c r="AA1290">
        <f>IF(K819="","",IF(K819="TABLE","",K819))</f>
        <v/>
      </c>
      <c r="AB1290">
        <f>IF(ISNUMBER(SEARCH("기존변경필요",SUBSTITUTE(TRIM(V819),CHAR(10)," "))),"",
IFERROR(
  _xlfn.XLOOKUP(AA819,'기존 end point'!B:B,'기존 end point'!B:B,,0),
""))</f>
        <v/>
      </c>
    </row>
    <row r="1291">
      <c r="A1291" s="6" t="n">
        <v>801</v>
      </c>
      <c r="B1291" s="7" t="n"/>
      <c r="C1291" s="7" t="inlineStr">
        <is>
          <t>SRC Design</t>
        </is>
      </c>
      <c r="D1291" s="7" t="inlineStr">
        <is>
          <t>Table</t>
        </is>
      </c>
      <c r="E1291" s="7" t="inlineStr">
        <is>
          <t>Parameter Tables</t>
        </is>
      </c>
      <c r="F1291" s="7" t="inlineStr">
        <is>
          <t>Effective Length Factor (K)</t>
        </is>
      </c>
      <c r="G1291" s="7" t="n"/>
      <c r="H1291" s="7" t="inlineStr">
        <is>
          <t>DESIGN</t>
        </is>
      </c>
      <c r="I1291" s="7" t="inlineStr">
        <is>
          <t>SRC</t>
        </is>
      </c>
      <c r="J1291" s="7" t="inlineStr">
        <is>
          <t>AIK-SRC2K</t>
        </is>
      </c>
      <c r="K1291" s="7" t="n"/>
      <c r="L1291" s="12" t="n"/>
      <c r="M1291" s="12" t="n"/>
      <c r="N1291" s="12" t="n"/>
      <c r="O1291" s="12" t="n"/>
      <c r="P1291" s="12" t="n"/>
      <c r="Q1291" s="12" t="n"/>
      <c r="R1291" s="12" t="n"/>
      <c r="S1291" s="12" t="n"/>
      <c r="T1291" s="9" t="inlineStr">
        <is>
          <t>cancel</t>
        </is>
      </c>
      <c r="U1291" s="2" t="n"/>
      <c r="V1291" s="1" t="inlineStr">
        <is>
          <t>(공통) GET 메서드에 동작</t>
        </is>
      </c>
      <c r="Z1291">
        <f>IF(OR(K820="",K820="TABLE"),"",
_xlfn.TEXTJOIN(", ",TRUE,
IF(E820&lt;&gt;"",E820&amp;K820,""),
IF(F820&lt;&gt;"",F820&amp;K820,""),
IF(G820&lt;&gt;"",G820&amp;K820,"")
))</f>
        <v/>
      </c>
      <c r="AA1291">
        <f>IF(K820="","",IF(K820="TABLE","",K820))</f>
        <v/>
      </c>
      <c r="AB1291">
        <f>IF(ISNUMBER(SEARCH("기존변경필요",SUBSTITUTE(TRIM(V820),CHAR(10)," "))),"",
IFERROR(
  _xlfn.XLOOKUP(AA820,'기존 end point'!B:B,'기존 end point'!B:B,,0),
""))</f>
        <v/>
      </c>
    </row>
    <row r="1292">
      <c r="A1292" s="6" t="n">
        <v>802</v>
      </c>
      <c r="B1292" s="7" t="n"/>
      <c r="C1292" s="7" t="inlineStr">
        <is>
          <t>SRC Design</t>
        </is>
      </c>
      <c r="D1292" s="7" t="inlineStr">
        <is>
          <t>Table</t>
        </is>
      </c>
      <c r="E1292" s="7" t="inlineStr">
        <is>
          <t>Parameter Tables</t>
        </is>
      </c>
      <c r="F1292" s="7" t="inlineStr">
        <is>
          <t>Limiting Slenderness Ratio</t>
        </is>
      </c>
      <c r="G1292" s="7" t="n"/>
      <c r="H1292" s="7" t="inlineStr">
        <is>
          <t>DESIGN</t>
        </is>
      </c>
      <c r="I1292" s="7" t="inlineStr">
        <is>
          <t>SRC</t>
        </is>
      </c>
      <c r="J1292" s="7" t="inlineStr">
        <is>
          <t>AIK-SRC2K</t>
        </is>
      </c>
      <c r="K1292" s="7" t="n"/>
      <c r="L1292" s="12" t="n"/>
      <c r="M1292" s="12" t="n"/>
      <c r="N1292" s="12" t="n"/>
      <c r="O1292" s="12" t="n"/>
      <c r="P1292" s="12" t="n"/>
      <c r="Q1292" s="12" t="n"/>
      <c r="R1292" s="12" t="n"/>
      <c r="S1292" s="12" t="n"/>
      <c r="T1292" s="9" t="inlineStr">
        <is>
          <t>cancel</t>
        </is>
      </c>
      <c r="U1292" s="2" t="n"/>
      <c r="V1292" s="1" t="inlineStr">
        <is>
          <t>(공통) GET 메서드에 동작</t>
        </is>
      </c>
      <c r="Z1292">
        <f>IF(OR(K821="",K821="TABLE"),"",
_xlfn.TEXTJOIN(", ",TRUE,
IF(E821&lt;&gt;"",E821&amp;K821,""),
IF(F821&lt;&gt;"",F821&amp;K821,""),
IF(G821&lt;&gt;"",G821&amp;K821,"")
))</f>
        <v/>
      </c>
      <c r="AA1292">
        <f>IF(K821="","",IF(K821="TABLE","",K821))</f>
        <v/>
      </c>
      <c r="AB1292">
        <f>IF(ISNUMBER(SEARCH("기존변경필요",SUBSTITUTE(TRIM(V821),CHAR(10)," "))),"",
IFERROR(
  _xlfn.XLOOKUP(AA821,'기존 end point'!B:B,'기존 end point'!B:B,,0),
""))</f>
        <v/>
      </c>
    </row>
    <row r="1293">
      <c r="A1293" s="6" t="n">
        <v>803</v>
      </c>
      <c r="B1293" s="7" t="n"/>
      <c r="C1293" s="7" t="inlineStr">
        <is>
          <t>SRC Design</t>
        </is>
      </c>
      <c r="D1293" s="7" t="inlineStr">
        <is>
          <t>Table</t>
        </is>
      </c>
      <c r="E1293" s="7" t="inlineStr">
        <is>
          <t>Parameter Tables</t>
        </is>
      </c>
      <c r="F1293" s="7" t="inlineStr">
        <is>
          <t>Equivalent Moment Correction Factor(Cm)</t>
        </is>
      </c>
      <c r="G1293" s="7" t="n"/>
      <c r="H1293" s="7" t="inlineStr">
        <is>
          <t>DESIGN</t>
        </is>
      </c>
      <c r="I1293" s="7" t="inlineStr">
        <is>
          <t>SRC</t>
        </is>
      </c>
      <c r="J1293" s="7" t="inlineStr">
        <is>
          <t>AIK-SRC2K</t>
        </is>
      </c>
      <c r="K1293" s="7" t="n"/>
      <c r="L1293" s="12" t="n"/>
      <c r="M1293" s="12" t="n"/>
      <c r="N1293" s="12" t="n"/>
      <c r="O1293" s="12" t="n"/>
      <c r="P1293" s="12" t="n"/>
      <c r="Q1293" s="12" t="n"/>
      <c r="R1293" s="12" t="n"/>
      <c r="S1293" s="12" t="n"/>
      <c r="T1293" s="9" t="inlineStr">
        <is>
          <t>cancel</t>
        </is>
      </c>
      <c r="U1293" s="2" t="n"/>
      <c r="V1293" s="1" t="inlineStr">
        <is>
          <t>(공통) GET 메서드에 동작</t>
        </is>
      </c>
      <c r="Z1293">
        <f>IF(OR(K822="",K822="TABLE"),"",
_xlfn.TEXTJOIN(", ",TRUE,
IF(E822&lt;&gt;"",E822&amp;K822,""),
IF(F822&lt;&gt;"",F822&amp;K822,""),
IF(G822&lt;&gt;"",G822&amp;K822,"")
))</f>
        <v/>
      </c>
      <c r="AA1293">
        <f>IF(K822="","",IF(K822="TABLE","",K822))</f>
        <v/>
      </c>
      <c r="AB1293">
        <f>IF(ISNUMBER(SEARCH("기존변경필요",SUBSTITUTE(TRIM(V822),CHAR(10)," "))),"",
IFERROR(
  _xlfn.XLOOKUP(AA822,'기존 end point'!B:B,'기존 end point'!B:B,,0),
""))</f>
        <v/>
      </c>
    </row>
    <row r="1294">
      <c r="A1294" s="6" t="n">
        <v>804</v>
      </c>
      <c r="B1294" s="7" t="n"/>
      <c r="C1294" s="7" t="inlineStr">
        <is>
          <t>SRC Design</t>
        </is>
      </c>
      <c r="D1294" s="7" t="inlineStr">
        <is>
          <t>Table</t>
        </is>
      </c>
      <c r="E1294" s="7" t="inlineStr">
        <is>
          <t>Parameter Tables</t>
        </is>
      </c>
      <c r="F1294" s="7" t="inlineStr">
        <is>
          <t>Moment Magnifier(B1/Delta_b, B2/Delta_s)</t>
        </is>
      </c>
      <c r="G1294" s="7" t="n"/>
      <c r="H1294" s="7" t="inlineStr">
        <is>
          <t>DESIGN</t>
        </is>
      </c>
      <c r="I1294" s="7" t="inlineStr">
        <is>
          <t>SRC</t>
        </is>
      </c>
      <c r="J1294" s="7" t="inlineStr">
        <is>
          <t>AIK-SRC2K</t>
        </is>
      </c>
      <c r="K1294" s="7" t="n"/>
      <c r="L1294" s="12" t="n"/>
      <c r="M1294" s="12" t="n"/>
      <c r="N1294" s="12" t="n"/>
      <c r="O1294" s="12" t="n"/>
      <c r="P1294" s="12" t="n"/>
      <c r="Q1294" s="12" t="n"/>
      <c r="R1294" s="12" t="n"/>
      <c r="S1294" s="12" t="n"/>
      <c r="T1294" s="9" t="inlineStr">
        <is>
          <t>cancel</t>
        </is>
      </c>
      <c r="U1294" s="2" t="n"/>
      <c r="V1294" s="1" t="inlineStr">
        <is>
          <t>(공통) GET 메서드에 동작</t>
        </is>
      </c>
      <c r="Z1294">
        <f>IF(OR(K823="",K823="TABLE"),"",
_xlfn.TEXTJOIN(", ",TRUE,
IF(E823&lt;&gt;"",E823&amp;K823,""),
IF(F823&lt;&gt;"",F823&amp;K823,""),
IF(G823&lt;&gt;"",G823&amp;K823,"")
))</f>
        <v/>
      </c>
      <c r="AA1294">
        <f>IF(K823="","",IF(K823="TABLE","",K823))</f>
        <v/>
      </c>
      <c r="AB1294">
        <f>IF(ISNUMBER(SEARCH("기존변경필요",SUBSTITUTE(TRIM(V823),CHAR(10)," "))),"",
IFERROR(
  _xlfn.XLOOKUP(AA823,'기존 end point'!B:B,'기존 end point'!B:B,,0),
""))</f>
        <v/>
      </c>
    </row>
    <row r="1295">
      <c r="A1295" s="6" t="n">
        <v>805</v>
      </c>
      <c r="B1295" s="7" t="n"/>
      <c r="C1295" s="7" t="inlineStr">
        <is>
          <t>SRC Design</t>
        </is>
      </c>
      <c r="D1295" s="7" t="inlineStr">
        <is>
          <t>Table</t>
        </is>
      </c>
      <c r="E1295" s="7" t="inlineStr">
        <is>
          <t>Parameter Tables</t>
        </is>
      </c>
      <c r="F1295" s="7" t="inlineStr">
        <is>
          <t>Modify Live Load Reduction Factor</t>
        </is>
      </c>
      <c r="G1295" s="7" t="n"/>
      <c r="H1295" s="7" t="inlineStr">
        <is>
          <t>DESIGN</t>
        </is>
      </c>
      <c r="I1295" s="7" t="inlineStr">
        <is>
          <t>SRC</t>
        </is>
      </c>
      <c r="J1295" s="7" t="inlineStr">
        <is>
          <t>AIK-SRC2K</t>
        </is>
      </c>
      <c r="K1295" s="7" t="n"/>
      <c r="L1295" s="12" t="n"/>
      <c r="M1295" s="12" t="n"/>
      <c r="N1295" s="12" t="n"/>
      <c r="O1295" s="12" t="n"/>
      <c r="P1295" s="12" t="n"/>
      <c r="Q1295" s="12" t="n"/>
      <c r="R1295" s="12" t="n"/>
      <c r="S1295" s="12" t="n"/>
      <c r="T1295" s="9" t="inlineStr">
        <is>
          <t>cancel</t>
        </is>
      </c>
      <c r="U1295" s="2" t="n"/>
      <c r="V1295" s="1" t="inlineStr">
        <is>
          <t>(공통) GET 메서드에 동작</t>
        </is>
      </c>
      <c r="Z1295">
        <f>IF(OR(K824="",K824="TABLE"),"",
_xlfn.TEXTJOIN(", ",TRUE,
IF(E824&lt;&gt;"",E824&amp;K824,""),
IF(F824&lt;&gt;"",F824&amp;K824,""),
IF(G824&lt;&gt;"",G824&amp;K824,"")
))</f>
        <v/>
      </c>
      <c r="AA1295">
        <f>IF(K824="","",IF(K824="TABLE","",K824))</f>
        <v/>
      </c>
      <c r="AB1295">
        <f>IF(ISNUMBER(SEARCH("기존변경필요",SUBSTITUTE(TRIM(V824),CHAR(10)," "))),"",
IFERROR(
  _xlfn.XLOOKUP(AA824,'기존 end point'!B:B,'기존 end point'!B:B,,0),
""))</f>
        <v/>
      </c>
    </row>
    <row r="1296">
      <c r="A1296" s="6" t="n">
        <v>806</v>
      </c>
      <c r="B1296" s="7" t="n"/>
      <c r="C1296" s="7" t="inlineStr">
        <is>
          <t>SRC Design</t>
        </is>
      </c>
      <c r="D1296" s="7" t="inlineStr">
        <is>
          <t>Table</t>
        </is>
      </c>
      <c r="E1296" s="7" t="inlineStr">
        <is>
          <t>Parameter Tables</t>
        </is>
      </c>
      <c r="F1296" s="7" t="inlineStr">
        <is>
          <t>Scale up Factor for Earthquake</t>
        </is>
      </c>
      <c r="G1296" s="7" t="n"/>
      <c r="H1296" s="7" t="inlineStr">
        <is>
          <t>DESIGN</t>
        </is>
      </c>
      <c r="I1296" s="7" t="inlineStr">
        <is>
          <t>SRC</t>
        </is>
      </c>
      <c r="J1296" s="7" t="inlineStr">
        <is>
          <t>AIK-SRC2K</t>
        </is>
      </c>
      <c r="K1296" s="7" t="n"/>
      <c r="L1296" s="12" t="n"/>
      <c r="M1296" s="12" t="n"/>
      <c r="N1296" s="12" t="n"/>
      <c r="O1296" s="12" t="n"/>
      <c r="P1296" s="12" t="n"/>
      <c r="Q1296" s="12" t="n"/>
      <c r="R1296" s="12" t="n"/>
      <c r="S1296" s="12" t="n"/>
      <c r="T1296" s="9" t="inlineStr">
        <is>
          <t>cancel</t>
        </is>
      </c>
      <c r="U1296" s="2" t="n"/>
      <c r="V1296" s="1" t="inlineStr">
        <is>
          <t>(공통) GET 메서드에 동작</t>
        </is>
      </c>
      <c r="Z1296">
        <f>IF(OR(K825="",K825="TABLE"),"",
_xlfn.TEXTJOIN(", ",TRUE,
IF(E825&lt;&gt;"",E825&amp;K825,""),
IF(F825&lt;&gt;"",F825&amp;K825,""),
IF(G825&lt;&gt;"",G825&amp;K825,"")
))</f>
        <v/>
      </c>
      <c r="AA1296">
        <f>IF(K825="","",IF(K825="TABLE","",K825))</f>
        <v/>
      </c>
      <c r="AB1296">
        <f>IF(ISNUMBER(SEARCH("기존변경필요",SUBSTITUTE(TRIM(V825),CHAR(10)," "))),"",
IFERROR(
  _xlfn.XLOOKUP(AA825,'기존 end point'!B:B,'기존 end point'!B:B,,0),
""))</f>
        <v/>
      </c>
    </row>
    <row r="1297">
      <c r="A1297" s="6" t="n">
        <v>807</v>
      </c>
      <c r="B1297" s="7" t="n"/>
      <c r="C1297" s="7" t="inlineStr">
        <is>
          <t>SRC Design</t>
        </is>
      </c>
      <c r="D1297" s="7" t="inlineStr">
        <is>
          <t>Table</t>
        </is>
      </c>
      <c r="E1297" s="7" t="inlineStr">
        <is>
          <t>Parameter Tables</t>
        </is>
      </c>
      <c r="F1297" s="7" t="inlineStr">
        <is>
          <t>Modify Member Type</t>
        </is>
      </c>
      <c r="G1297" s="7" t="n"/>
      <c r="H1297" s="7" t="inlineStr">
        <is>
          <t>DESIGN</t>
        </is>
      </c>
      <c r="I1297" s="7" t="inlineStr">
        <is>
          <t>SRC</t>
        </is>
      </c>
      <c r="J1297" s="7" t="inlineStr">
        <is>
          <t>AIK-SRC2K</t>
        </is>
      </c>
      <c r="K1297" s="7" t="n"/>
      <c r="L1297" s="12" t="n"/>
      <c r="M1297" s="12" t="n"/>
      <c r="N1297" s="12" t="n"/>
      <c r="O1297" s="12" t="n"/>
      <c r="P1297" s="12" t="n"/>
      <c r="Q1297" s="12" t="n"/>
      <c r="R1297" s="12" t="n"/>
      <c r="S1297" s="12" t="n"/>
      <c r="T1297" s="9" t="inlineStr">
        <is>
          <t>cancel</t>
        </is>
      </c>
      <c r="U1297" s="2" t="n"/>
      <c r="V1297" s="1" t="inlineStr">
        <is>
          <t>(공통) GET 메서드에 동작</t>
        </is>
      </c>
      <c r="Z1297">
        <f>IF(OR(K826="",K826="TABLE"),"",
_xlfn.TEXTJOIN(", ",TRUE,
IF(E826&lt;&gt;"",E826&amp;K826,""),
IF(F826&lt;&gt;"",F826&amp;K826,""),
IF(G826&lt;&gt;"",G826&amp;K826,"")
))</f>
        <v/>
      </c>
      <c r="AA1297">
        <f>IF(K826="","",IF(K826="TABLE","",K826))</f>
        <v/>
      </c>
      <c r="AB1297">
        <f>IF(ISNUMBER(SEARCH("기존변경필요",SUBSTITUTE(TRIM(V826),CHAR(10)," "))),"",
IFERROR(
  _xlfn.XLOOKUP(AA826,'기존 end point'!B:B,'기존 end point'!B:B,,0),
""))</f>
        <v/>
      </c>
    </row>
    <row r="1298">
      <c r="A1298" s="6" t="n">
        <v>808</v>
      </c>
      <c r="B1298" s="7" t="n"/>
      <c r="C1298" s="7" t="inlineStr">
        <is>
          <t>SRC Design</t>
        </is>
      </c>
      <c r="D1298" s="7" t="inlineStr">
        <is>
          <t>Table</t>
        </is>
      </c>
      <c r="E1298" s="7" t="inlineStr">
        <is>
          <t>Parameter Tables</t>
        </is>
      </c>
      <c r="F1298" s="7" t="inlineStr">
        <is>
          <t>Seismic Load Combination Type</t>
        </is>
      </c>
      <c r="G1298" s="7" t="n"/>
      <c r="H1298" s="7" t="inlineStr">
        <is>
          <t>DESIGN</t>
        </is>
      </c>
      <c r="I1298" s="7" t="inlineStr">
        <is>
          <t>SRC</t>
        </is>
      </c>
      <c r="J1298" s="7" t="inlineStr">
        <is>
          <t>AIK-SRC2K</t>
        </is>
      </c>
      <c r="K1298" s="7" t="n"/>
      <c r="L1298" s="12" t="n"/>
      <c r="M1298" s="12" t="n"/>
      <c r="N1298" s="12" t="n"/>
      <c r="O1298" s="12" t="n"/>
      <c r="P1298" s="12" t="n"/>
      <c r="Q1298" s="12" t="n"/>
      <c r="R1298" s="12" t="n"/>
      <c r="S1298" s="12" t="n"/>
      <c r="T1298" s="9" t="inlineStr">
        <is>
          <t>cancel</t>
        </is>
      </c>
      <c r="U1298" s="2" t="n"/>
      <c r="V1298" s="1" t="inlineStr">
        <is>
          <t>(공통) GET 메서드에 동작</t>
        </is>
      </c>
      <c r="Z1298">
        <f>IF(OR(K827="",K827="TABLE"),"",
_xlfn.TEXTJOIN(", ",TRUE,
IF(E827&lt;&gt;"",E827&amp;K827,""),
IF(F827&lt;&gt;"",F827&amp;K827,""),
IF(G827&lt;&gt;"",G827&amp;K827,"")
))</f>
        <v/>
      </c>
      <c r="AA1298">
        <f>IF(K827="","",IF(K827="TABLE","",K827))</f>
        <v/>
      </c>
      <c r="AB1298">
        <f>IF(ISNUMBER(SEARCH("기존변경필요",SUBSTITUTE(TRIM(V827),CHAR(10)," "))),"",
IFERROR(
  _xlfn.XLOOKUP(AA827,'기존 end point'!B:B,'기존 end point'!B:B,,0),
""))</f>
        <v/>
      </c>
    </row>
    <row r="1299">
      <c r="A1299" s="6" t="n">
        <v>809</v>
      </c>
      <c r="B1299" s="7" t="n"/>
      <c r="C1299" s="7" t="inlineStr">
        <is>
          <t>SRC Design</t>
        </is>
      </c>
      <c r="D1299" s="7" t="inlineStr">
        <is>
          <t>Table</t>
        </is>
      </c>
      <c r="E1299" s="7" t="inlineStr">
        <is>
          <t>Parameter Tables</t>
        </is>
      </c>
      <c r="F1299" s="7" t="inlineStr">
        <is>
          <t>Design Parameter Detail Table</t>
        </is>
      </c>
      <c r="G1299" s="7" t="n"/>
      <c r="H1299" s="7" t="inlineStr">
        <is>
          <t>DESIGN</t>
        </is>
      </c>
      <c r="I1299" s="7" t="inlineStr">
        <is>
          <t>SRC</t>
        </is>
      </c>
      <c r="J1299" s="7" t="inlineStr">
        <is>
          <t>AIK-SRC2K</t>
        </is>
      </c>
      <c r="K1299" s="7" t="n"/>
      <c r="L1299" s="12" t="n"/>
      <c r="M1299" s="12" t="n"/>
      <c r="N1299" s="12" t="n"/>
      <c r="O1299" s="12" t="n"/>
      <c r="P1299" s="12" t="n"/>
      <c r="Q1299" s="12" t="n"/>
      <c r="R1299" s="12" t="n"/>
      <c r="S1299" s="12" t="n"/>
      <c r="T1299" s="9" t="inlineStr">
        <is>
          <t>cancel</t>
        </is>
      </c>
      <c r="U1299" s="2" t="n"/>
      <c r="V1299" s="1" t="inlineStr">
        <is>
          <t>(공통) GET 메서드에 동작</t>
        </is>
      </c>
      <c r="Z1299">
        <f>IF(OR(K828="",K828="TABLE"),"",
_xlfn.TEXTJOIN(", ",TRUE,
IF(E828&lt;&gt;"",E828&amp;K828,""),
IF(F828&lt;&gt;"",F828&amp;K828,""),
IF(G828&lt;&gt;"",G828&amp;K828,"")
))</f>
        <v/>
      </c>
      <c r="AA1299">
        <f>IF(K828="","",IF(K828="TABLE","",K828))</f>
        <v/>
      </c>
      <c r="AB1299">
        <f>IF(ISNUMBER(SEARCH("기존변경필요",SUBSTITUTE(TRIM(V828),CHAR(10)," "))),"",
IFERROR(
  _xlfn.XLOOKUP(AA828,'기존 end point'!B:B,'기존 end point'!B:B,,0),
""))</f>
        <v/>
      </c>
    </row>
    <row r="1300">
      <c r="A1300" s="6" t="n">
        <v>810</v>
      </c>
      <c r="B1300" s="7" t="n"/>
      <c r="C1300" s="7" t="inlineStr">
        <is>
          <t>SRC Design</t>
        </is>
      </c>
      <c r="D1300" s="7" t="inlineStr">
        <is>
          <t>Table</t>
        </is>
      </c>
      <c r="E1300" s="7" t="inlineStr">
        <is>
          <t>Rebar Data Tables</t>
        </is>
      </c>
      <c r="F1300" s="7" t="inlineStr">
        <is>
          <t>Modify SRC Beam Section Data</t>
        </is>
      </c>
      <c r="G1300" s="7" t="n"/>
      <c r="H1300" s="7" t="inlineStr">
        <is>
          <t>DESIGN</t>
        </is>
      </c>
      <c r="I1300" s="7" t="inlineStr">
        <is>
          <t>SRC</t>
        </is>
      </c>
      <c r="J1300" s="7" t="inlineStr">
        <is>
          <t>AIK-SRC2K</t>
        </is>
      </c>
      <c r="K1300" s="7" t="n"/>
      <c r="L1300" s="12" t="n"/>
      <c r="M1300" s="12" t="n"/>
      <c r="N1300" s="12" t="n"/>
      <c r="O1300" s="12" t="n"/>
      <c r="P1300" s="12" t="n"/>
      <c r="Q1300" s="12" t="n"/>
      <c r="R1300" s="12" t="n"/>
      <c r="S1300" s="12" t="n"/>
      <c r="T1300" s="9" t="inlineStr">
        <is>
          <t>cancel</t>
        </is>
      </c>
      <c r="U1300" s="2" t="n"/>
      <c r="V1300" s="1" t="inlineStr">
        <is>
          <t>(공통) GET 메서드에 동작</t>
        </is>
      </c>
      <c r="Z1300">
        <f>IF(OR(K829="",K829="TABLE"),"",
_xlfn.TEXTJOIN(", ",TRUE,
IF(E829&lt;&gt;"",E829&amp;K829,""),
IF(F829&lt;&gt;"",F829&amp;K829,""),
IF(G829&lt;&gt;"",G829&amp;K829,"")
))</f>
        <v/>
      </c>
      <c r="AA1300">
        <f>IF(K829="","",IF(K829="TABLE","",K829))</f>
        <v/>
      </c>
      <c r="AB1300">
        <f>IF(ISNUMBER(SEARCH("기존변경필요",SUBSTITUTE(TRIM(V829),CHAR(10)," "))),"",
IFERROR(
  _xlfn.XLOOKUP(AA829,'기존 end point'!B:B,'기존 end point'!B:B,,0),
""))</f>
        <v/>
      </c>
    </row>
    <row r="1301">
      <c r="A1301" s="6" t="n">
        <v>811</v>
      </c>
      <c r="B1301" s="7" t="n"/>
      <c r="C1301" s="7" t="inlineStr">
        <is>
          <t>SRC Design</t>
        </is>
      </c>
      <c r="D1301" s="7" t="inlineStr">
        <is>
          <t>Table</t>
        </is>
      </c>
      <c r="E1301" s="7" t="inlineStr">
        <is>
          <t>Rebar Data Tables</t>
        </is>
      </c>
      <c r="F1301" s="7" t="inlineStr">
        <is>
          <t>Modify SRC Column Section Data</t>
        </is>
      </c>
      <c r="G1301" s="7" t="n"/>
      <c r="H1301" s="7" t="inlineStr">
        <is>
          <t>DESIGN</t>
        </is>
      </c>
      <c r="I1301" s="7" t="inlineStr">
        <is>
          <t>SRC</t>
        </is>
      </c>
      <c r="J1301" s="7" t="inlineStr">
        <is>
          <t>AIK-SRC2K</t>
        </is>
      </c>
      <c r="K1301" s="7" t="n"/>
      <c r="L1301" s="12" t="n"/>
      <c r="M1301" s="12" t="n"/>
      <c r="N1301" s="12" t="n"/>
      <c r="O1301" s="12" t="n"/>
      <c r="P1301" s="12" t="n"/>
      <c r="Q1301" s="12" t="n"/>
      <c r="R1301" s="12" t="n"/>
      <c r="S1301" s="12" t="n"/>
      <c r="T1301" s="9" t="inlineStr">
        <is>
          <t>cancel</t>
        </is>
      </c>
      <c r="U1301" s="2" t="n"/>
      <c r="V1301" s="1" t="inlineStr">
        <is>
          <t>(공통) GET 메서드에 동작</t>
        </is>
      </c>
      <c r="Z1301">
        <f>IF(OR(K830="",K830="TABLE"),"",
_xlfn.TEXTJOIN(", ",TRUE,
IF(E830&lt;&gt;"",E830&amp;K830,""),
IF(F830&lt;&gt;"",F830&amp;K830,""),
IF(G830&lt;&gt;"",G830&amp;K830,"")
))</f>
        <v/>
      </c>
      <c r="AA1301">
        <f>IF(K830="","",IF(K830="TABLE","",K830))</f>
        <v/>
      </c>
      <c r="AB1301">
        <f>IF(ISNUMBER(SEARCH("기존변경필요",SUBSTITUTE(TRIM(V830),CHAR(10)," "))),"",
IFERROR(
  _xlfn.XLOOKUP(AA830,'기존 end point'!B:B,'기존 end point'!B:B,,0),
""))</f>
        <v/>
      </c>
    </row>
    <row r="1302">
      <c r="B1302" s="1" t="n"/>
      <c r="C1302" s="1" t="inlineStr">
        <is>
          <t>SRC Design</t>
        </is>
      </c>
      <c r="D1302" s="1" t="inlineStr">
        <is>
          <t>Perform</t>
        </is>
      </c>
      <c r="E1302" s="2" t="inlineStr">
        <is>
          <t>SRC Code Checking</t>
        </is>
      </c>
      <c r="F1302" s="2" t="inlineStr">
        <is>
          <t>Beam Checking</t>
        </is>
      </c>
      <c r="G1302" s="2" t="n"/>
      <c r="H1302" s="2" t="inlineStr">
        <is>
          <t>DESIGN</t>
        </is>
      </c>
      <c r="I1302" s="2" t="inlineStr">
        <is>
          <t>SRC</t>
        </is>
      </c>
      <c r="J1302" s="2" t="inlineStr">
        <is>
          <t>AIK-SRC2K</t>
        </is>
      </c>
      <c r="K1302" s="13" t="inlineStr">
        <is>
          <t>BC-ANAL</t>
        </is>
      </c>
      <c r="L1302" s="2">
        <f>_xlfn.TEXTJOIN("/",TRUE,H831,I831,J831,K831)</f>
        <v/>
      </c>
      <c r="M1302" s="2" t="n"/>
      <c r="N1302" s="2" t="inlineStr">
        <is>
          <t>done</t>
        </is>
      </c>
      <c r="O1302" s="2" t="n"/>
      <c r="P1302" s="2" t="n"/>
      <c r="Q1302" s="2" t="n"/>
      <c r="R1302" s="2" t="n"/>
      <c r="S1302" s="2" t="n"/>
      <c r="T1302" s="2" t="inlineStr">
        <is>
          <t>progress</t>
        </is>
      </c>
      <c r="U1302" s="1" t="inlineStr">
        <is>
          <t>기획</t>
        </is>
      </c>
      <c r="V1302" s="1" t="n">
        <v>1</v>
      </c>
      <c r="Z1302">
        <f>IF(OR(K831="",K831="TABLE"),"",
_xlfn.TEXTJOIN(", ",TRUE,
IF(E831&lt;&gt;"",E831&amp;K831,""),
IF(F831&lt;&gt;"",F831&amp;K831,""),
IF(G831&lt;&gt;"",G831&amp;K831,"")
))</f>
        <v/>
      </c>
      <c r="AA1302">
        <f>IF(K831="","",IF(K831="TABLE","",K831))</f>
        <v/>
      </c>
      <c r="AB1302">
        <f>IF(ISNUMBER(SEARCH("기존변경필요",SUBSTITUTE(TRIM(V831),CHAR(10)," "))),"",
IFERROR(
  _xlfn.XLOOKUP(AA831,'기존 end point'!B:B,'기존 end point'!B:B,,0),
""))</f>
        <v/>
      </c>
    </row>
    <row r="1303">
      <c r="B1303" s="1" t="n"/>
      <c r="C1303" s="1" t="n"/>
      <c r="D1303" s="1" t="n"/>
      <c r="E1303" s="2" t="n"/>
      <c r="F1303" s="2" t="n"/>
      <c r="G1303" s="2" t="n"/>
      <c r="H1303" s="2" t="inlineStr">
        <is>
          <t>DESIGN</t>
        </is>
      </c>
      <c r="I1303" s="2" t="inlineStr">
        <is>
          <t>SRC</t>
        </is>
      </c>
      <c r="J1303" s="2" t="inlineStr">
        <is>
          <t>AIK-SRC2K</t>
        </is>
      </c>
      <c r="K1303" s="13" t="inlineStr">
        <is>
          <t>BC-TABLE</t>
        </is>
      </c>
      <c r="L1303" s="2">
        <f>_xlfn.TEXTJOIN("/",TRUE,H832,I832,J832,K832)</f>
        <v/>
      </c>
      <c r="M1303" s="2" t="n"/>
      <c r="N1303" s="2" t="inlineStr">
        <is>
          <t>done</t>
        </is>
      </c>
      <c r="O1303" s="2" t="n"/>
      <c r="P1303" s="2" t="n"/>
      <c r="Q1303" s="2" t="n"/>
      <c r="R1303" s="2" t="n"/>
      <c r="S1303" s="2" t="n"/>
      <c r="T1303" s="2" t="inlineStr">
        <is>
          <t>progress</t>
        </is>
      </c>
      <c r="U1303" s="1" t="inlineStr">
        <is>
          <t>기획</t>
        </is>
      </c>
      <c r="V1303" s="1" t="n"/>
    </row>
    <row r="1304">
      <c r="B1304" s="1" t="n"/>
      <c r="C1304" s="1" t="n"/>
      <c r="D1304" s="1" t="n"/>
      <c r="E1304" s="2" t="n"/>
      <c r="F1304" s="2" t="n"/>
      <c r="G1304" s="2" t="n"/>
      <c r="H1304" s="2" t="inlineStr">
        <is>
          <t>DESIGN</t>
        </is>
      </c>
      <c r="I1304" s="2" t="inlineStr">
        <is>
          <t>SRC</t>
        </is>
      </c>
      <c r="J1304" s="2" t="inlineStr">
        <is>
          <t>AIK-SRC2K</t>
        </is>
      </c>
      <c r="K1304" s="13" t="inlineStr">
        <is>
          <t>BC-REPORT</t>
        </is>
      </c>
      <c r="L1304" s="2">
        <f>_xlfn.TEXTJOIN("/",TRUE,H833,I833,J833,K833)</f>
        <v/>
      </c>
      <c r="M1304" s="2" t="n"/>
      <c r="N1304" s="2" t="inlineStr">
        <is>
          <t>done</t>
        </is>
      </c>
      <c r="O1304" s="2" t="n"/>
      <c r="P1304" s="2" t="n"/>
      <c r="Q1304" s="2" t="n"/>
      <c r="R1304" s="2" t="n"/>
      <c r="S1304" s="2" t="n"/>
      <c r="T1304" s="2" t="inlineStr">
        <is>
          <t>progress</t>
        </is>
      </c>
      <c r="U1304" s="1" t="inlineStr">
        <is>
          <t>기획</t>
        </is>
      </c>
      <c r="V1304" s="1" t="n"/>
    </row>
    <row r="1305">
      <c r="B1305" s="1" t="n"/>
      <c r="C1305" s="1" t="inlineStr">
        <is>
          <t>SRC Design</t>
        </is>
      </c>
      <c r="D1305" s="1" t="inlineStr">
        <is>
          <t>Perform</t>
        </is>
      </c>
      <c r="E1305" s="2" t="inlineStr">
        <is>
          <t>SRC Code Checking</t>
        </is>
      </c>
      <c r="F1305" s="2" t="inlineStr">
        <is>
          <t>Column Checking</t>
        </is>
      </c>
      <c r="G1305" s="2" t="n"/>
      <c r="H1305" s="2" t="inlineStr">
        <is>
          <t>DESIGN</t>
        </is>
      </c>
      <c r="I1305" s="2" t="inlineStr">
        <is>
          <t>SRC</t>
        </is>
      </c>
      <c r="J1305" s="2" t="inlineStr">
        <is>
          <t>AIK-SRC2K</t>
        </is>
      </c>
      <c r="K1305" s="13" t="inlineStr">
        <is>
          <t>CC-ANAL</t>
        </is>
      </c>
      <c r="L1305" s="2">
        <f>_xlfn.TEXTJOIN("/",TRUE,H834,I834,J834,K834)</f>
        <v/>
      </c>
      <c r="M1305" s="2" t="n"/>
      <c r="N1305" s="2" t="inlineStr">
        <is>
          <t>done</t>
        </is>
      </c>
      <c r="O1305" s="2" t="n"/>
      <c r="P1305" s="2" t="n"/>
      <c r="Q1305" s="2" t="n"/>
      <c r="R1305" s="2" t="n"/>
      <c r="S1305" s="2" t="n"/>
      <c r="T1305" s="2" t="inlineStr">
        <is>
          <t>progress</t>
        </is>
      </c>
      <c r="U1305" s="1" t="inlineStr">
        <is>
          <t>기획</t>
        </is>
      </c>
      <c r="V1305" s="1" t="n">
        <v>1</v>
      </c>
      <c r="Z1305">
        <f>IF(OR(K834="",K834="TABLE"),"",
_xlfn.TEXTJOIN(", ",TRUE,
IF(E834&lt;&gt;"",E834&amp;K834,""),
IF(F834&lt;&gt;"",F834&amp;K834,""),
IF(G834&lt;&gt;"",G834&amp;K834,"")
))</f>
        <v/>
      </c>
      <c r="AA1305">
        <f>IF(K834="","",IF(K834="TABLE","",K834))</f>
        <v/>
      </c>
      <c r="AB1305">
        <f>IF(ISNUMBER(SEARCH("기존변경필요",SUBSTITUTE(TRIM(V834),CHAR(10)," "))),"",
IFERROR(
  _xlfn.XLOOKUP(AA834,'기존 end point'!B:B,'기존 end point'!B:B,,0),
""))</f>
        <v/>
      </c>
    </row>
    <row r="1306">
      <c r="B1306" s="1" t="n"/>
      <c r="C1306" s="1" t="n"/>
      <c r="D1306" s="1" t="n"/>
      <c r="E1306" s="2" t="n"/>
      <c r="F1306" s="2" t="n"/>
      <c r="G1306" s="2" t="n"/>
      <c r="H1306" s="2" t="inlineStr">
        <is>
          <t>DESIGN</t>
        </is>
      </c>
      <c r="I1306" s="2" t="inlineStr">
        <is>
          <t>SRC</t>
        </is>
      </c>
      <c r="J1306" s="2" t="inlineStr">
        <is>
          <t>AIK-SRC2K</t>
        </is>
      </c>
      <c r="K1306" s="13" t="inlineStr">
        <is>
          <t>CC-TABLE</t>
        </is>
      </c>
      <c r="L1306" s="2">
        <f>_xlfn.TEXTJOIN("/",TRUE,H835,I835,J835,K835)</f>
        <v/>
      </c>
      <c r="M1306" s="2" t="n"/>
      <c r="N1306" s="2" t="inlineStr">
        <is>
          <t>done</t>
        </is>
      </c>
      <c r="O1306" s="2" t="n"/>
      <c r="P1306" s="2" t="n"/>
      <c r="Q1306" s="2" t="n"/>
      <c r="R1306" s="2" t="n"/>
      <c r="S1306" s="2" t="n"/>
      <c r="T1306" s="2" t="inlineStr">
        <is>
          <t>progress</t>
        </is>
      </c>
      <c r="U1306" s="1" t="inlineStr">
        <is>
          <t>기획</t>
        </is>
      </c>
      <c r="V1306" s="1" t="n"/>
    </row>
    <row r="1307">
      <c r="B1307" s="1" t="n"/>
      <c r="C1307" s="1" t="n"/>
      <c r="D1307" s="1" t="n"/>
      <c r="E1307" s="1" t="n"/>
      <c r="F1307" s="1" t="n"/>
      <c r="G1307" s="1" t="n"/>
      <c r="H1307" s="2" t="inlineStr">
        <is>
          <t>DESIGN</t>
        </is>
      </c>
      <c r="I1307" s="2" t="inlineStr">
        <is>
          <t>SRC</t>
        </is>
      </c>
      <c r="J1307" s="2" t="inlineStr">
        <is>
          <t>AIK-SRC2K</t>
        </is>
      </c>
      <c r="K1307" s="13" t="inlineStr">
        <is>
          <t>CC-REPORT</t>
        </is>
      </c>
      <c r="L1307" s="2">
        <f>_xlfn.TEXTJOIN("/",TRUE,H836,I836,J836,K836)</f>
        <v/>
      </c>
      <c r="M1307" s="2" t="n"/>
      <c r="N1307" s="2" t="inlineStr">
        <is>
          <t>done</t>
        </is>
      </c>
      <c r="O1307" s="2" t="n"/>
      <c r="P1307" s="2" t="n"/>
      <c r="Q1307" s="2" t="n"/>
      <c r="R1307" s="2" t="n"/>
      <c r="S1307" s="2" t="n"/>
      <c r="T1307" s="2" t="inlineStr">
        <is>
          <t>progress</t>
        </is>
      </c>
      <c r="U1307" s="1" t="inlineStr">
        <is>
          <t>기획</t>
        </is>
      </c>
      <c r="V1307" s="1" t="n"/>
    </row>
    <row r="1308">
      <c r="B1308" s="1" t="n"/>
      <c r="C1308" s="1" t="inlineStr">
        <is>
          <t>SRC Design</t>
        </is>
      </c>
      <c r="D1308" s="1" t="inlineStr">
        <is>
          <t>Perform</t>
        </is>
      </c>
      <c r="E1308" s="1" t="inlineStr">
        <is>
          <t>SRC Optimal Design</t>
        </is>
      </c>
      <c r="F1308" s="1" t="inlineStr">
        <is>
          <t>SRC Optimal Design</t>
        </is>
      </c>
      <c r="G1308" s="1" t="n"/>
      <c r="H1308" s="1" t="inlineStr">
        <is>
          <t>DESIGN</t>
        </is>
      </c>
      <c r="I1308" s="1" t="inlineStr">
        <is>
          <t>SRC</t>
        </is>
      </c>
      <c r="J1308" s="1" t="inlineStr">
        <is>
          <t>AIK-SRC2K</t>
        </is>
      </c>
      <c r="K1308" s="10" t="inlineStr">
        <is>
          <t>OCHECK</t>
        </is>
      </c>
      <c r="L1308" s="1">
        <f>_xlfn.TEXTJOIN("/",TRUE,H837,I837,J837,K837)</f>
        <v/>
      </c>
      <c r="M1308" s="1" t="n"/>
      <c r="N1308" s="2" t="inlineStr">
        <is>
          <t>done</t>
        </is>
      </c>
      <c r="O1308" s="1" t="n"/>
      <c r="P1308" s="1" t="n"/>
      <c r="Q1308" s="1" t="n"/>
      <c r="R1308" s="1" t="n"/>
      <c r="S1308" s="1" t="n"/>
      <c r="T1308" s="1" t="inlineStr">
        <is>
          <t>progress</t>
        </is>
      </c>
      <c r="U1308" s="1" t="inlineStr">
        <is>
          <t>기획</t>
        </is>
      </c>
      <c r="V1308" s="1" t="n">
        <v>1</v>
      </c>
      <c r="Z1308">
        <f>IF(OR(K837="",K837="TABLE"),"",
_xlfn.TEXTJOIN(", ",TRUE,
IF(E837&lt;&gt;"",E837&amp;K837,""),
IF(F837&lt;&gt;"",F837&amp;K837,""),
IF(G837&lt;&gt;"",G837&amp;K837,"")
))</f>
        <v/>
      </c>
      <c r="AA1308">
        <f>IF(K837="","",IF(K837="TABLE","",K837))</f>
        <v/>
      </c>
      <c r="AB1308">
        <f>IF(ISNUMBER(SEARCH("기존변경필요",SUBSTITUTE(TRIM(V837),CHAR(10)," "))),"",
IFERROR(
  _xlfn.XLOOKUP(AA837,'기존 end point'!B:B,'기존 end point'!B:B,,0),
""))</f>
        <v/>
      </c>
    </row>
    <row r="1309">
      <c r="B1309" s="1" t="n"/>
      <c r="C1309" s="1" t="inlineStr">
        <is>
          <t>SRC Design</t>
        </is>
      </c>
      <c r="D1309" s="1" t="inlineStr">
        <is>
          <t>Perform</t>
        </is>
      </c>
      <c r="E1309" s="1" t="inlineStr">
        <is>
          <t>SRC Optimal Design</t>
        </is>
      </c>
      <c r="F1309" s="1" t="inlineStr">
        <is>
          <t>Displacement Optimal Design</t>
        </is>
      </c>
      <c r="G1309" s="1" t="n"/>
      <c r="H1309" s="1" t="inlineStr">
        <is>
          <t>DESIGN</t>
        </is>
      </c>
      <c r="I1309" s="1" t="inlineStr">
        <is>
          <t>SRC</t>
        </is>
      </c>
      <c r="J1309" s="1" t="inlineStr">
        <is>
          <t>AIK-SRC2K</t>
        </is>
      </c>
      <c r="K1309" s="1">
        <f>_xlfn.XLOOKUP(F838,'PARAMETER 공통'!$B$4:$B$53,'PARAMETER 공통'!$D$4:$D$53,,0,1)</f>
        <v/>
      </c>
      <c r="L1309" s="1">
        <f>_xlfn.TEXTJOIN("/",TRUE,H838,I838,J838,K838)</f>
        <v/>
      </c>
      <c r="M1309" s="1" t="n"/>
      <c r="N1309" s="2" t="inlineStr">
        <is>
          <t>done</t>
        </is>
      </c>
      <c r="O1309" s="1" t="n"/>
      <c r="P1309" s="1" t="n"/>
      <c r="Q1309" s="1" t="n"/>
      <c r="R1309" s="1" t="n"/>
      <c r="S1309" s="1" t="n"/>
      <c r="T1309" s="1" t="inlineStr">
        <is>
          <t>progress</t>
        </is>
      </c>
      <c r="U1309" s="1" t="inlineStr">
        <is>
          <t>기획</t>
        </is>
      </c>
      <c r="V1309" s="1" t="n">
        <v>3</v>
      </c>
      <c r="Z1309">
        <f>IF(OR(K838="",K838="TABLE"),"",
_xlfn.TEXTJOIN(", ",TRUE,
IF(E838&lt;&gt;"",E838&amp;K838,""),
IF(F838&lt;&gt;"",F838&amp;K838,""),
IF(G838&lt;&gt;"",G838&amp;K838,"")
))</f>
        <v/>
      </c>
      <c r="AA1309">
        <f>IF(K838="","",IF(K838="TABLE","",K838))</f>
        <v/>
      </c>
      <c r="AB1309">
        <f>IF(ISNUMBER(SEARCH("기존변경필요",SUBSTITUTE(TRIM(V838),CHAR(10)," "))),"",
IFERROR(
  _xlfn.XLOOKUP(AA838,'기존 end point'!B:B,'기존 end point'!B:B,,0),
""))</f>
        <v/>
      </c>
    </row>
    <row r="1310">
      <c r="B1310" s="1" t="n"/>
      <c r="C1310" s="1" t="inlineStr">
        <is>
          <t>SRC Design</t>
        </is>
      </c>
      <c r="D1310" s="1" t="inlineStr">
        <is>
          <t>Result</t>
        </is>
      </c>
      <c r="E1310" s="1" t="inlineStr">
        <is>
          <t>SRC Design Result</t>
        </is>
      </c>
      <c r="F1310" s="1" t="n"/>
      <c r="G1310" s="1" t="n"/>
      <c r="H1310" s="1" t="inlineStr">
        <is>
          <t>DESIGN</t>
        </is>
      </c>
      <c r="I1310" s="1" t="inlineStr">
        <is>
          <t>SRC</t>
        </is>
      </c>
      <c r="J1310" s="1" t="inlineStr">
        <is>
          <t>AIK-SRC2K</t>
        </is>
      </c>
      <c r="K1310" s="10" t="inlineStr">
        <is>
          <t>DREULT</t>
        </is>
      </c>
      <c r="L1310" s="1">
        <f>_xlfn.TEXTJOIN("/",TRUE,H839,I839,J839,K839)</f>
        <v/>
      </c>
      <c r="M1310" s="1" t="n"/>
      <c r="N1310" s="2" t="inlineStr">
        <is>
          <t>done</t>
        </is>
      </c>
      <c r="O1310" s="1" t="n"/>
      <c r="P1310" s="1" t="n"/>
      <c r="Q1310" s="1" t="n"/>
      <c r="R1310" s="1" t="n"/>
      <c r="S1310" s="1" t="n"/>
      <c r="T1310" s="1" t="inlineStr">
        <is>
          <t>progress</t>
        </is>
      </c>
      <c r="U1310" s="1" t="inlineStr">
        <is>
          <t>기획</t>
        </is>
      </c>
      <c r="V1310" s="1" t="n">
        <v>1</v>
      </c>
      <c r="Z1310">
        <f>IF(OR(K839="",K839="TABLE"),"",
_xlfn.TEXTJOIN(", ",TRUE,
IF(E839&lt;&gt;"",E839&amp;K839,""),
IF(F839&lt;&gt;"",F839&amp;K839,""),
IF(G839&lt;&gt;"",G839&amp;K839,"")
))</f>
        <v/>
      </c>
      <c r="AA1310">
        <f>IF(K839="","",IF(K839="TABLE","",K839))</f>
        <v/>
      </c>
      <c r="AB1310">
        <f>IF(ISNUMBER(SEARCH("기존변경필요",SUBSTITUTE(TRIM(V839),CHAR(10)," "))),"",
IFERROR(
  _xlfn.XLOOKUP(AA839,'기존 end point'!B:B,'기존 end point'!B:B,,0),
""))</f>
        <v/>
      </c>
    </row>
    <row r="1311">
      <c r="B1311" s="1" t="n"/>
      <c r="C1311" s="1" t="inlineStr">
        <is>
          <t>SRC Design</t>
        </is>
      </c>
      <c r="D1311" s="1" t="inlineStr">
        <is>
          <t>Result</t>
        </is>
      </c>
      <c r="E1311" s="2" t="inlineStr">
        <is>
          <t>SRC Member Design Forces</t>
        </is>
      </c>
      <c r="F1311" s="2" t="inlineStr">
        <is>
          <t>SRC Beam Design Forces</t>
        </is>
      </c>
      <c r="G1311" s="2" t="n"/>
      <c r="H1311" s="2" t="inlineStr">
        <is>
          <t>DESIGN</t>
        </is>
      </c>
      <c r="I1311" s="2" t="inlineStr">
        <is>
          <t>SRC</t>
        </is>
      </c>
      <c r="J1311" s="2" t="inlineStr">
        <is>
          <t>AIK-SRC2K</t>
        </is>
      </c>
      <c r="K1311" s="13" t="inlineStr">
        <is>
          <t>TABLE</t>
        </is>
      </c>
      <c r="L1311" s="1">
        <f>_xlfn.TEXTJOIN("/",TRUE,H840,I840,J840,K840)</f>
        <v/>
      </c>
      <c r="M1311" s="10" t="inlineStr">
        <is>
          <t>BEAMDESIGNFORCES</t>
        </is>
      </c>
      <c r="N1311" s="2" t="inlineStr">
        <is>
          <t>done</t>
        </is>
      </c>
      <c r="O1311" s="1" t="n"/>
      <c r="P1311" s="1" t="n"/>
      <c r="Q1311" s="1" t="n"/>
      <c r="R1311" s="1" t="n"/>
      <c r="S1311" s="1" t="n"/>
      <c r="T1311" s="1" t="inlineStr">
        <is>
          <t>progress</t>
        </is>
      </c>
      <c r="U1311" s="1" t="inlineStr">
        <is>
          <t>기획</t>
        </is>
      </c>
      <c r="V1311" s="1" t="n">
        <v>1</v>
      </c>
      <c r="Z1311">
        <f>IF(OR(K840="",K840="TABLE"),"",
_xlfn.TEXTJOIN(", ",TRUE,
IF(E840&lt;&gt;"",E840&amp;K840,""),
IF(F840&lt;&gt;"",F840&amp;K840,""),
IF(G840&lt;&gt;"",G840&amp;K840,"")
))</f>
        <v/>
      </c>
      <c r="AA1311">
        <f>IF(K840="","",IF(K840="TABLE","",K840))</f>
        <v/>
      </c>
      <c r="AB1311">
        <f>IF(ISNUMBER(SEARCH("기존변경필요",SUBSTITUTE(TRIM(V840),CHAR(10)," "))),"",
IFERROR(
  _xlfn.XLOOKUP(AA840,'기존 end point'!B:B,'기존 end point'!B:B,,0),
""))</f>
        <v/>
      </c>
    </row>
    <row r="1312">
      <c r="B1312" s="1" t="n"/>
      <c r="C1312" s="1" t="inlineStr">
        <is>
          <t>SRC Design</t>
        </is>
      </c>
      <c r="D1312" s="1" t="inlineStr">
        <is>
          <t>Result</t>
        </is>
      </c>
      <c r="E1312" s="2" t="inlineStr">
        <is>
          <t>SRC Member Design Forces</t>
        </is>
      </c>
      <c r="F1312" s="2" t="inlineStr">
        <is>
          <t>SRC Column Design Forces</t>
        </is>
      </c>
      <c r="G1312" s="2" t="n"/>
      <c r="H1312" s="2" t="inlineStr">
        <is>
          <t>DESIGN</t>
        </is>
      </c>
      <c r="I1312" s="2" t="inlineStr">
        <is>
          <t>SRC</t>
        </is>
      </c>
      <c r="J1312" s="2" t="inlineStr">
        <is>
          <t>AIK-SRC2K</t>
        </is>
      </c>
      <c r="K1312" s="13" t="inlineStr">
        <is>
          <t>TABLE</t>
        </is>
      </c>
      <c r="L1312" s="1">
        <f>_xlfn.TEXTJOIN("/",TRUE,H841,I841,J841,K841)</f>
        <v/>
      </c>
      <c r="M1312" s="10" t="inlineStr">
        <is>
          <t>COLUMNDESIGNFORCES</t>
        </is>
      </c>
      <c r="N1312" s="2" t="inlineStr">
        <is>
          <t>done</t>
        </is>
      </c>
      <c r="O1312" s="1" t="n"/>
      <c r="P1312" s="1" t="n"/>
      <c r="Q1312" s="1" t="n"/>
      <c r="R1312" s="1" t="n"/>
      <c r="S1312" s="1" t="n"/>
      <c r="T1312" s="1" t="inlineStr">
        <is>
          <t>progress</t>
        </is>
      </c>
      <c r="U1312" s="1" t="inlineStr">
        <is>
          <t>기획</t>
        </is>
      </c>
      <c r="V1312" s="1" t="n">
        <v>1</v>
      </c>
      <c r="Z1312">
        <f>IF(OR(K841="",K841="TABLE"),"",
_xlfn.TEXTJOIN(", ",TRUE,
IF(E841&lt;&gt;"",E841&amp;K841,""),
IF(F841&lt;&gt;"",F841&amp;K841,""),
IF(G841&lt;&gt;"",G841&amp;K841,"")
))</f>
        <v/>
      </c>
      <c r="AA1312">
        <f>IF(K841="","",IF(K841="TABLE","",K841))</f>
        <v/>
      </c>
      <c r="AB1312">
        <f>IF(ISNUMBER(SEARCH("기존변경필요",SUBSTITUTE(TRIM(V841),CHAR(10)," "))),"",
IFERROR(
  _xlfn.XLOOKUP(AA841,'기존 end point'!B:B,'기존 end point'!B:B,,0),
""))</f>
        <v/>
      </c>
    </row>
    <row r="1313">
      <c r="B1313" s="1" t="n"/>
      <c r="C1313" s="1" t="inlineStr">
        <is>
          <t>SRC Design</t>
        </is>
      </c>
      <c r="D1313" s="1" t="inlineStr">
        <is>
          <t>Design Section</t>
        </is>
      </c>
      <c r="E1313" s="1" t="inlineStr">
        <is>
          <t>Section for Design</t>
        </is>
      </c>
      <c r="F1313" s="1" t="n"/>
      <c r="G1313" s="1" t="n"/>
      <c r="H1313" s="1" t="inlineStr">
        <is>
          <t>DESIGN</t>
        </is>
      </c>
      <c r="I1313" s="1" t="n"/>
      <c r="J1313" s="1" t="n"/>
      <c r="K1313" s="10" t="inlineStr">
        <is>
          <t>DSECT</t>
        </is>
      </c>
      <c r="L1313" s="1">
        <f>_xlfn.TEXTJOIN("/",TRUE,H842,I842,J842,K842)</f>
        <v/>
      </c>
      <c r="M1313" s="1" t="n"/>
      <c r="N1313" s="1" t="inlineStr">
        <is>
          <t>progress</t>
        </is>
      </c>
      <c r="O1313" s="1" t="n"/>
      <c r="P1313" s="1" t="n"/>
      <c r="Q1313" s="1" t="n"/>
      <c r="R1313" s="1" t="n"/>
      <c r="S1313" s="1" t="n"/>
      <c r="T1313" s="1" t="inlineStr">
        <is>
          <t>progress</t>
        </is>
      </c>
      <c r="U1313" s="1" t="inlineStr">
        <is>
          <t>개발</t>
        </is>
      </c>
      <c r="V1313" s="1" t="n">
        <v>3</v>
      </c>
      <c r="Z1313">
        <f>IF(OR(K842="",K842="TABLE"),"",
_xlfn.TEXTJOIN(", ",TRUE,
IF(E842&lt;&gt;"",E842&amp;K842,""),
IF(F842&lt;&gt;"",F842&amp;K842,""),
IF(G842&lt;&gt;"",G842&amp;K842,"")
))</f>
        <v/>
      </c>
      <c r="AA1313">
        <f>IF(K842="","",IF(K842="TABLE","",K842))</f>
        <v/>
      </c>
      <c r="AB1313">
        <f>IF(ISNUMBER(SEARCH("기존변경필요",SUBSTITUTE(TRIM(V842),CHAR(10)," "))),"",
IFERROR(
  _xlfn.XLOOKUP(AA842,'기존 end point'!B:B,'기존 end point'!B:B,,0),
""))</f>
        <v/>
      </c>
    </row>
    <row r="1314">
      <c r="A1314" s="6" t="n">
        <v>820</v>
      </c>
      <c r="B1314" s="7" t="n"/>
      <c r="C1314" s="7" t="inlineStr">
        <is>
          <t>SRC Design</t>
        </is>
      </c>
      <c r="D1314" s="7" t="inlineStr">
        <is>
          <t>Batch Processing</t>
        </is>
      </c>
      <c r="E1314" s="7" t="inlineStr">
        <is>
          <t>Perform Batch Design</t>
        </is>
      </c>
      <c r="F1314" s="7" t="n"/>
      <c r="G1314" s="7" t="n"/>
      <c r="H1314" s="7" t="inlineStr">
        <is>
          <t>DESIGN</t>
        </is>
      </c>
      <c r="I1314" s="7" t="inlineStr">
        <is>
          <t>SRC</t>
        </is>
      </c>
      <c r="J1314" s="7" t="inlineStr">
        <is>
          <t>AIK-SRC2K</t>
        </is>
      </c>
      <c r="K1314" s="8" t="n"/>
      <c r="L1314" s="7" t="n"/>
      <c r="M1314" s="7" t="n"/>
      <c r="N1314" s="7" t="inlineStr">
        <is>
          <t>progress</t>
        </is>
      </c>
      <c r="O1314" s="7" t="n"/>
      <c r="P1314" s="7" t="n"/>
      <c r="Q1314" s="7" t="n"/>
      <c r="R1314" s="7" t="n"/>
      <c r="S1314" s="7" t="n"/>
      <c r="T1314" s="16" t="inlineStr">
        <is>
          <t>cancel</t>
        </is>
      </c>
      <c r="U1314" s="1" t="n"/>
      <c r="V1314" s="1" t="n">
        <v>3</v>
      </c>
      <c r="Z1314">
        <f>IF(OR(K843="",K843="TABLE"),"",
_xlfn.TEXTJOIN(", ",TRUE,
IF(E843&lt;&gt;"",E843&amp;K843,""),
IF(F843&lt;&gt;"",F843&amp;K843,""),
IF(G843&lt;&gt;"",G843&amp;K843,"")
))</f>
        <v/>
      </c>
      <c r="AA1314">
        <f>IF(K843="","",IF(K843="TABLE","",K843))</f>
        <v/>
      </c>
      <c r="AB1314">
        <f>IF(ISNUMBER(SEARCH("기존변경필요",SUBSTITUTE(TRIM(V843),CHAR(10)," "))),"",
IFERROR(
  _xlfn.XLOOKUP(AA843,'기존 end point'!B:B,'기존 end point'!B:B,,0),
""))</f>
        <v/>
      </c>
    </row>
    <row r="1315">
      <c r="A1315" t="n">
        <v>821</v>
      </c>
      <c r="C1315" t="inlineStr">
        <is>
          <t>Cold Formed Steel Design</t>
        </is>
      </c>
      <c r="D1315" t="inlineStr">
        <is>
          <t>Design Code</t>
        </is>
      </c>
      <c r="E1315" t="inlineStr">
        <is>
          <t>Design Code</t>
        </is>
      </c>
      <c r="T1315" t="inlineStr">
        <is>
          <t>none</t>
        </is>
      </c>
    </row>
    <row r="1316">
      <c r="A1316" t="n">
        <v>822</v>
      </c>
      <c r="C1316" t="inlineStr">
        <is>
          <t>Cold Formed Steel Design</t>
        </is>
      </c>
      <c r="D1316" t="inlineStr">
        <is>
          <t>Design Input Data</t>
        </is>
      </c>
      <c r="E1316" t="inlineStr">
        <is>
          <t>Design Code Option</t>
        </is>
      </c>
      <c r="T1316" t="inlineStr">
        <is>
          <t>none</t>
        </is>
      </c>
    </row>
    <row r="1317">
      <c r="A1317" t="n">
        <v>823</v>
      </c>
      <c r="C1317" t="inlineStr">
        <is>
          <t>Cold Formed Steel Design</t>
        </is>
      </c>
      <c r="D1317" t="inlineStr">
        <is>
          <t>Design Input Data</t>
        </is>
      </c>
      <c r="E1317" t="inlineStr">
        <is>
          <t>Design Parameters</t>
        </is>
      </c>
      <c r="F1317" t="inlineStr">
        <is>
          <t>Definition of Frame</t>
        </is>
      </c>
      <c r="T1317" t="inlineStr">
        <is>
          <t>none</t>
        </is>
      </c>
    </row>
    <row r="1318">
      <c r="A1318" t="n">
        <v>824</v>
      </c>
      <c r="C1318" t="inlineStr">
        <is>
          <t>Cold Formed Steel Design</t>
        </is>
      </c>
      <c r="D1318" t="inlineStr">
        <is>
          <t>Design Input Data</t>
        </is>
      </c>
      <c r="E1318" t="inlineStr">
        <is>
          <t>Design Parameters</t>
        </is>
      </c>
      <c r="F1318" t="inlineStr">
        <is>
          <t>Live Load Reduction Factor</t>
        </is>
      </c>
      <c r="T1318" t="inlineStr">
        <is>
          <t>none</t>
        </is>
      </c>
    </row>
    <row r="1319">
      <c r="A1319" t="n">
        <v>825</v>
      </c>
      <c r="C1319" t="inlineStr">
        <is>
          <t>Cold Formed Steel Design</t>
        </is>
      </c>
      <c r="D1319" t="inlineStr">
        <is>
          <t>Design Input Data</t>
        </is>
      </c>
      <c r="E1319" t="inlineStr">
        <is>
          <t>Design Parameters</t>
        </is>
      </c>
      <c r="F1319" t="inlineStr">
        <is>
          <t>Short/Long term Load Case</t>
        </is>
      </c>
      <c r="T1319" t="inlineStr">
        <is>
          <t>none</t>
        </is>
      </c>
    </row>
    <row r="1320">
      <c r="A1320" t="n">
        <v>826</v>
      </c>
      <c r="C1320" t="inlineStr">
        <is>
          <t>Cold Formed Steel Design</t>
        </is>
      </c>
      <c r="D1320" t="inlineStr">
        <is>
          <t>Design Input Data</t>
        </is>
      </c>
      <c r="E1320" t="inlineStr">
        <is>
          <t>Design Parameters</t>
        </is>
      </c>
      <c r="F1320" t="inlineStr">
        <is>
          <t>Serviceability Load Combination Type</t>
        </is>
      </c>
      <c r="T1320" t="inlineStr">
        <is>
          <t>none</t>
        </is>
      </c>
    </row>
    <row r="1321">
      <c r="A1321" t="n">
        <v>827</v>
      </c>
      <c r="C1321" t="inlineStr">
        <is>
          <t>Cold Formed Steel Design</t>
        </is>
      </c>
      <c r="D1321" t="inlineStr">
        <is>
          <t>Design Input Data</t>
        </is>
      </c>
      <c r="E1321" t="inlineStr">
        <is>
          <t>Design Parameters</t>
        </is>
      </c>
      <c r="F1321" t="inlineStr">
        <is>
          <t>Load Contribution for Nonlinear Load Case</t>
        </is>
      </c>
      <c r="T1321" t="inlineStr">
        <is>
          <t>none</t>
        </is>
      </c>
    </row>
    <row r="1322">
      <c r="A1322" t="n">
        <v>828</v>
      </c>
      <c r="C1322" t="inlineStr">
        <is>
          <t>Cold Formed Steel Design</t>
        </is>
      </c>
      <c r="D1322" t="inlineStr">
        <is>
          <t>Design Input Data</t>
        </is>
      </c>
      <c r="E1322" t="inlineStr">
        <is>
          <t>Design Parameters</t>
        </is>
      </c>
      <c r="F1322" t="inlineStr">
        <is>
          <t>Member Assignment</t>
        </is>
      </c>
      <c r="T1322" t="inlineStr">
        <is>
          <t>none</t>
        </is>
      </c>
    </row>
    <row r="1323">
      <c r="A1323" t="n">
        <v>829</v>
      </c>
      <c r="C1323" t="inlineStr">
        <is>
          <t>Cold Formed Steel Design</t>
        </is>
      </c>
      <c r="D1323" t="inlineStr">
        <is>
          <t>Design Input Data</t>
        </is>
      </c>
      <c r="E1323" t="inlineStr">
        <is>
          <t>Design Parameters</t>
        </is>
      </c>
      <c r="F1323" t="inlineStr">
        <is>
          <t>Reverse Member Load Direction</t>
        </is>
      </c>
      <c r="T1323" t="inlineStr">
        <is>
          <t>none</t>
        </is>
      </c>
    </row>
    <row r="1324">
      <c r="A1324" t="n">
        <v>830</v>
      </c>
      <c r="C1324" t="inlineStr">
        <is>
          <t>Cold Formed Steel Design</t>
        </is>
      </c>
      <c r="D1324" t="inlineStr">
        <is>
          <t>Design Input Data</t>
        </is>
      </c>
      <c r="E1324" t="inlineStr">
        <is>
          <t>Design Parameters</t>
        </is>
      </c>
      <c r="F1324" t="inlineStr">
        <is>
          <t>"Unbraced Length (L, Lb)"</t>
        </is>
      </c>
      <c r="T1324" t="inlineStr">
        <is>
          <t>none</t>
        </is>
      </c>
    </row>
    <row r="1325">
      <c r="A1325" t="n">
        <v>831</v>
      </c>
      <c r="C1325" t="inlineStr">
        <is>
          <t>Cold Formed Steel Design</t>
        </is>
      </c>
      <c r="D1325" t="inlineStr">
        <is>
          <t>Design Input Data</t>
        </is>
      </c>
      <c r="E1325" t="inlineStr">
        <is>
          <t>Design Parameters</t>
        </is>
      </c>
      <c r="F1325" t="inlineStr">
        <is>
          <t>Effective Length Factor (K)</t>
        </is>
      </c>
      <c r="T1325" t="inlineStr">
        <is>
          <t>none</t>
        </is>
      </c>
    </row>
    <row r="1326">
      <c r="A1326" t="n">
        <v>832</v>
      </c>
      <c r="C1326" t="inlineStr">
        <is>
          <t>Cold Formed Steel Design</t>
        </is>
      </c>
      <c r="D1326" t="inlineStr">
        <is>
          <t>Design Input Data</t>
        </is>
      </c>
      <c r="E1326" t="inlineStr">
        <is>
          <t>Design Parameters</t>
        </is>
      </c>
      <c r="F1326" t="inlineStr">
        <is>
          <t>Limiting Slenderness Ratio</t>
        </is>
      </c>
      <c r="T1326" t="inlineStr">
        <is>
          <t>none</t>
        </is>
      </c>
    </row>
    <row r="1327">
      <c r="A1327" t="n">
        <v>833</v>
      </c>
      <c r="C1327" t="inlineStr">
        <is>
          <t>Cold Formed Steel Design</t>
        </is>
      </c>
      <c r="D1327" t="inlineStr">
        <is>
          <t>Design Input Data</t>
        </is>
      </c>
      <c r="E1327" t="inlineStr">
        <is>
          <t>Design Parameters</t>
        </is>
      </c>
      <c r="F1327" t="inlineStr">
        <is>
          <t>Equivalent Moment Correction Factor(Cm)</t>
        </is>
      </c>
      <c r="T1327" t="inlineStr">
        <is>
          <t>none</t>
        </is>
      </c>
    </row>
    <row r="1328">
      <c r="A1328" t="n">
        <v>834</v>
      </c>
      <c r="C1328" t="inlineStr">
        <is>
          <t>Cold Formed Steel Design</t>
        </is>
      </c>
      <c r="D1328" t="inlineStr">
        <is>
          <t>Design Input Data</t>
        </is>
      </c>
      <c r="E1328" t="inlineStr">
        <is>
          <t>Design Parameters</t>
        </is>
      </c>
      <c r="F1328" t="inlineStr">
        <is>
          <t>"Moment Magnifier(B1/Delta_b, B2/Delta_s)"</t>
        </is>
      </c>
      <c r="T1328" t="inlineStr">
        <is>
          <t>none</t>
        </is>
      </c>
    </row>
    <row r="1329">
      <c r="A1329" t="n">
        <v>835</v>
      </c>
      <c r="C1329" t="inlineStr">
        <is>
          <t>Cold Formed Steel Design</t>
        </is>
      </c>
      <c r="D1329" t="inlineStr">
        <is>
          <t>Design Input Data</t>
        </is>
      </c>
      <c r="E1329" t="inlineStr">
        <is>
          <t>Design Parameters</t>
        </is>
      </c>
      <c r="F1329" t="inlineStr">
        <is>
          <t>Modify Live Load Reduction Factor</t>
        </is>
      </c>
      <c r="T1329" t="inlineStr">
        <is>
          <t>none</t>
        </is>
      </c>
    </row>
    <row r="1330">
      <c r="A1330" t="n">
        <v>836</v>
      </c>
      <c r="C1330" t="inlineStr">
        <is>
          <t>Cold Formed Steel Design</t>
        </is>
      </c>
      <c r="D1330" t="inlineStr">
        <is>
          <t>Design Input Data</t>
        </is>
      </c>
      <c r="E1330" t="inlineStr">
        <is>
          <t>Design Parameters</t>
        </is>
      </c>
      <c r="F1330" t="inlineStr">
        <is>
          <t>Scale up Factor for Earthquake</t>
        </is>
      </c>
      <c r="T1330" t="inlineStr">
        <is>
          <t>none</t>
        </is>
      </c>
    </row>
    <row r="1331">
      <c r="A1331" t="n">
        <v>837</v>
      </c>
      <c r="C1331" t="inlineStr">
        <is>
          <t>Cold Formed Steel Design</t>
        </is>
      </c>
      <c r="D1331" t="inlineStr">
        <is>
          <t>Design Input Data</t>
        </is>
      </c>
      <c r="E1331" t="inlineStr">
        <is>
          <t>Design Parameters</t>
        </is>
      </c>
      <c r="F1331" t="inlineStr">
        <is>
          <t>Modify Member Type</t>
        </is>
      </c>
      <c r="T1331" t="inlineStr">
        <is>
          <t>none</t>
        </is>
      </c>
    </row>
    <row r="1332">
      <c r="A1332" t="n">
        <v>838</v>
      </c>
      <c r="C1332" t="inlineStr">
        <is>
          <t>Cold Formed Steel Design</t>
        </is>
      </c>
      <c r="D1332" t="inlineStr">
        <is>
          <t>Design Input Data</t>
        </is>
      </c>
      <c r="E1332" t="inlineStr">
        <is>
          <t>Design Parameters</t>
        </is>
      </c>
      <c r="F1332" t="inlineStr">
        <is>
          <t>Seismic Load Combination Type</t>
        </is>
      </c>
      <c r="T1332" t="inlineStr">
        <is>
          <t>none</t>
        </is>
      </c>
    </row>
    <row r="1333">
      <c r="A1333" t="n">
        <v>839</v>
      </c>
      <c r="C1333" t="inlineStr">
        <is>
          <t>Cold Formed Steel Design</t>
        </is>
      </c>
      <c r="D1333" t="inlineStr">
        <is>
          <t>Design Input Data</t>
        </is>
      </c>
      <c r="E1333" t="inlineStr">
        <is>
          <t>Design Parameters</t>
        </is>
      </c>
      <c r="F1333" t="inlineStr">
        <is>
          <t>Partial Safety Factors</t>
        </is>
      </c>
      <c r="T1333" t="inlineStr">
        <is>
          <t>none</t>
        </is>
      </c>
    </row>
    <row r="1334">
      <c r="A1334" t="n">
        <v>840</v>
      </c>
      <c r="C1334" t="inlineStr">
        <is>
          <t>Cold Formed Steel Design</t>
        </is>
      </c>
      <c r="D1334" t="inlineStr">
        <is>
          <t>Design Input Data</t>
        </is>
      </c>
      <c r="E1334" t="inlineStr">
        <is>
          <t>Design Parameters</t>
        </is>
      </c>
      <c r="F1334" t="inlineStr">
        <is>
          <t>Serviceability Parameters</t>
        </is>
      </c>
      <c r="T1334" t="inlineStr">
        <is>
          <t>none</t>
        </is>
      </c>
    </row>
    <row r="1335">
      <c r="A1335" t="n">
        <v>841</v>
      </c>
      <c r="C1335" t="inlineStr">
        <is>
          <t>Cold Formed Steel Design</t>
        </is>
      </c>
      <c r="D1335" t="inlineStr">
        <is>
          <t>Design Input Data</t>
        </is>
      </c>
      <c r="E1335" t="inlineStr">
        <is>
          <t>Design Parameters</t>
        </is>
      </c>
      <c r="F1335" t="inlineStr">
        <is>
          <t>Section Data</t>
        </is>
      </c>
      <c r="T1335" t="inlineStr">
        <is>
          <t>none</t>
        </is>
      </c>
    </row>
    <row r="1336">
      <c r="A1336" t="n">
        <v>842</v>
      </c>
      <c r="C1336" t="inlineStr">
        <is>
          <t>Cold Formed Steel Design</t>
        </is>
      </c>
      <c r="D1336" t="inlineStr">
        <is>
          <t>Design Input Data</t>
        </is>
      </c>
      <c r="E1336" t="inlineStr">
        <is>
          <t>Design Parameters</t>
        </is>
      </c>
      <c r="F1336" t="inlineStr">
        <is>
          <t>Bendidng Coefficient(Cb)</t>
        </is>
      </c>
      <c r="T1336" t="inlineStr">
        <is>
          <t>none</t>
        </is>
      </c>
    </row>
    <row r="1337">
      <c r="A1337" t="n">
        <v>843</v>
      </c>
      <c r="C1337" t="inlineStr">
        <is>
          <t>Cold Formed Steel Design</t>
        </is>
      </c>
      <c r="D1337" t="inlineStr">
        <is>
          <t>Design Input Data</t>
        </is>
      </c>
      <c r="E1337" t="inlineStr">
        <is>
          <t>Design Parameters</t>
        </is>
      </c>
      <c r="F1337" t="inlineStr">
        <is>
          <t>Modify Effective Section Properties</t>
        </is>
      </c>
      <c r="T1337" t="inlineStr">
        <is>
          <t>none</t>
        </is>
      </c>
    </row>
    <row r="1338">
      <c r="A1338" t="n">
        <v>844</v>
      </c>
      <c r="C1338" t="inlineStr">
        <is>
          <t>Cold Formed Steel Design</t>
        </is>
      </c>
      <c r="D1338" t="inlineStr">
        <is>
          <t>Design Input Data</t>
        </is>
      </c>
      <c r="E1338" t="inlineStr">
        <is>
          <t>Design Parameters</t>
        </is>
      </c>
      <c r="F1338" t="inlineStr">
        <is>
          <t>Design Parameter Detail Table</t>
        </is>
      </c>
      <c r="T1338" t="inlineStr">
        <is>
          <t>none</t>
        </is>
      </c>
    </row>
    <row r="1339">
      <c r="A1339" t="n">
        <v>845</v>
      </c>
      <c r="C1339" t="inlineStr">
        <is>
          <t>Cold Formed Steel Design</t>
        </is>
      </c>
      <c r="D1339" t="inlineStr">
        <is>
          <t>Design Input Data</t>
        </is>
      </c>
      <c r="E1339" t="inlineStr">
        <is>
          <t>Modify Cold Formed Steel Material</t>
        </is>
      </c>
      <c r="T1339" t="inlineStr">
        <is>
          <t>none</t>
        </is>
      </c>
    </row>
    <row r="1340">
      <c r="A1340" t="n">
        <v>846</v>
      </c>
      <c r="C1340" t="inlineStr">
        <is>
          <t>Cold Formed Steel Design</t>
        </is>
      </c>
      <c r="D1340" t="inlineStr">
        <is>
          <t>Design Input Data</t>
        </is>
      </c>
      <c r="E1340" t="inlineStr">
        <is>
          <t>Parameter Tables</t>
        </is>
      </c>
      <c r="F1340" t="inlineStr">
        <is>
          <t>"Unbraced Length (L, Lb)"</t>
        </is>
      </c>
      <c r="T1340" t="inlineStr">
        <is>
          <t>none</t>
        </is>
      </c>
    </row>
    <row r="1341">
      <c r="A1341" t="n">
        <v>847</v>
      </c>
      <c r="C1341" t="inlineStr">
        <is>
          <t>Cold Formed Steel Design</t>
        </is>
      </c>
      <c r="D1341" t="inlineStr">
        <is>
          <t>Design Input Data</t>
        </is>
      </c>
      <c r="E1341" t="inlineStr">
        <is>
          <t>Parameter Tables</t>
        </is>
      </c>
      <c r="F1341" t="inlineStr">
        <is>
          <t>Effective Length Factor (K)</t>
        </is>
      </c>
      <c r="T1341" t="inlineStr">
        <is>
          <t>none</t>
        </is>
      </c>
    </row>
    <row r="1342">
      <c r="A1342" t="n">
        <v>848</v>
      </c>
      <c r="C1342" t="inlineStr">
        <is>
          <t>Cold Formed Steel Design</t>
        </is>
      </c>
      <c r="D1342" t="inlineStr">
        <is>
          <t>Design Input Data</t>
        </is>
      </c>
      <c r="E1342" t="inlineStr">
        <is>
          <t>Parameter Tables</t>
        </is>
      </c>
      <c r="F1342" t="inlineStr">
        <is>
          <t>Limiting Slenderness Ratio</t>
        </is>
      </c>
      <c r="T1342" t="inlineStr">
        <is>
          <t>none</t>
        </is>
      </c>
    </row>
    <row r="1343">
      <c r="A1343" t="n">
        <v>849</v>
      </c>
      <c r="C1343" t="inlineStr">
        <is>
          <t>Cold Formed Steel Design</t>
        </is>
      </c>
      <c r="D1343" t="inlineStr">
        <is>
          <t>Design Input Data</t>
        </is>
      </c>
      <c r="E1343" t="inlineStr">
        <is>
          <t>Parameter Tables</t>
        </is>
      </c>
      <c r="F1343" t="inlineStr">
        <is>
          <t>Equivalent Moment Correction Factor(Cm)</t>
        </is>
      </c>
      <c r="T1343" t="inlineStr">
        <is>
          <t>none</t>
        </is>
      </c>
    </row>
    <row r="1344">
      <c r="A1344" t="n">
        <v>850</v>
      </c>
      <c r="C1344" t="inlineStr">
        <is>
          <t>Cold Formed Steel Design</t>
        </is>
      </c>
      <c r="D1344" t="inlineStr">
        <is>
          <t>Design Input Data</t>
        </is>
      </c>
      <c r="E1344" t="inlineStr">
        <is>
          <t>Parameter Tables</t>
        </is>
      </c>
      <c r="F1344" t="inlineStr">
        <is>
          <t>"Moment Magnifier(B1/Delta_b,B2/Delta_s)"</t>
        </is>
      </c>
      <c r="T1344" t="inlineStr">
        <is>
          <t>none</t>
        </is>
      </c>
    </row>
    <row r="1345">
      <c r="A1345" t="n">
        <v>851</v>
      </c>
      <c r="C1345" t="inlineStr">
        <is>
          <t>Cold Formed Steel Design</t>
        </is>
      </c>
      <c r="D1345" t="inlineStr">
        <is>
          <t>Design Input Data</t>
        </is>
      </c>
      <c r="E1345" t="inlineStr">
        <is>
          <t>Parameter Tables</t>
        </is>
      </c>
      <c r="F1345" t="inlineStr">
        <is>
          <t>Modify Live Load Reduction Factor</t>
        </is>
      </c>
      <c r="T1345" t="inlineStr">
        <is>
          <t>none</t>
        </is>
      </c>
    </row>
    <row r="1346">
      <c r="A1346" t="n">
        <v>852</v>
      </c>
      <c r="C1346" t="inlineStr">
        <is>
          <t>Cold Formed Steel Design</t>
        </is>
      </c>
      <c r="D1346" t="inlineStr">
        <is>
          <t>Design Input Data</t>
        </is>
      </c>
      <c r="E1346" t="inlineStr">
        <is>
          <t>Parameter Tables</t>
        </is>
      </c>
      <c r="F1346" t="inlineStr">
        <is>
          <t>Scale up Factor for Earthquake</t>
        </is>
      </c>
      <c r="T1346" t="inlineStr">
        <is>
          <t>none</t>
        </is>
      </c>
    </row>
    <row r="1347">
      <c r="A1347" t="n">
        <v>853</v>
      </c>
      <c r="C1347" t="inlineStr">
        <is>
          <t>Cold Formed Steel Design</t>
        </is>
      </c>
      <c r="D1347" t="inlineStr">
        <is>
          <t>Design Input Data</t>
        </is>
      </c>
      <c r="E1347" t="inlineStr">
        <is>
          <t>Parameter Tables</t>
        </is>
      </c>
      <c r="F1347" t="inlineStr">
        <is>
          <t>Modify Member Type</t>
        </is>
      </c>
      <c r="T1347" t="inlineStr">
        <is>
          <t>none</t>
        </is>
      </c>
    </row>
    <row r="1348">
      <c r="A1348" t="n">
        <v>854</v>
      </c>
      <c r="C1348" t="inlineStr">
        <is>
          <t>Cold Formed Steel Design</t>
        </is>
      </c>
      <c r="D1348" t="inlineStr">
        <is>
          <t>Design Input Data</t>
        </is>
      </c>
      <c r="E1348" t="inlineStr">
        <is>
          <t>Parameter Tables</t>
        </is>
      </c>
      <c r="F1348" t="inlineStr">
        <is>
          <t>Seismic Load Combination Type</t>
        </is>
      </c>
      <c r="T1348" t="inlineStr">
        <is>
          <t>none</t>
        </is>
      </c>
    </row>
    <row r="1349">
      <c r="A1349" t="n">
        <v>855</v>
      </c>
      <c r="C1349" t="inlineStr">
        <is>
          <t>Cold Formed Steel Design</t>
        </is>
      </c>
      <c r="D1349" t="inlineStr">
        <is>
          <t>Design Input Data</t>
        </is>
      </c>
      <c r="E1349" t="inlineStr">
        <is>
          <t>Parameter Tables</t>
        </is>
      </c>
      <c r="F1349" t="inlineStr">
        <is>
          <t>Serviceability Parameters</t>
        </is>
      </c>
      <c r="T1349" t="inlineStr">
        <is>
          <t>none</t>
        </is>
      </c>
    </row>
    <row r="1350">
      <c r="A1350" t="n">
        <v>856</v>
      </c>
      <c r="C1350" t="inlineStr">
        <is>
          <t>Cold Formed Steel Design</t>
        </is>
      </c>
      <c r="D1350" t="inlineStr">
        <is>
          <t>Design Input Data</t>
        </is>
      </c>
      <c r="E1350" t="inlineStr">
        <is>
          <t>Parameter Tables</t>
        </is>
      </c>
      <c r="F1350" t="inlineStr">
        <is>
          <t>Bending Coefficient(Cb)</t>
        </is>
      </c>
      <c r="T1350" t="inlineStr">
        <is>
          <t>none</t>
        </is>
      </c>
    </row>
    <row r="1351">
      <c r="A1351" t="n">
        <v>857</v>
      </c>
      <c r="C1351" t="inlineStr">
        <is>
          <t>Cold Formed Steel Design</t>
        </is>
      </c>
      <c r="D1351" t="inlineStr">
        <is>
          <t>Perform</t>
        </is>
      </c>
      <c r="E1351" t="inlineStr">
        <is>
          <t>Cold Formed Steel Code Check</t>
        </is>
      </c>
      <c r="T1351" t="inlineStr">
        <is>
          <t>none</t>
        </is>
      </c>
    </row>
    <row r="1352">
      <c r="A1352" t="n">
        <v>858</v>
      </c>
      <c r="C1352" t="inlineStr">
        <is>
          <t>Cold Formed Steel Design</t>
        </is>
      </c>
      <c r="D1352" t="inlineStr">
        <is>
          <t>Perform</t>
        </is>
      </c>
      <c r="E1352" t="inlineStr">
        <is>
          <t>Optimal Design</t>
        </is>
      </c>
      <c r="F1352" t="inlineStr">
        <is>
          <t>Displacement Optimal Design</t>
        </is>
      </c>
      <c r="T1352" t="inlineStr">
        <is>
          <t>none</t>
        </is>
      </c>
    </row>
    <row r="1353">
      <c r="A1353" t="n">
        <v>859</v>
      </c>
      <c r="C1353" t="inlineStr">
        <is>
          <t>Cold Formed Steel Design</t>
        </is>
      </c>
      <c r="D1353" t="inlineStr">
        <is>
          <t>Result</t>
        </is>
      </c>
      <c r="E1353" t="inlineStr">
        <is>
          <t>Cold Formed Steel Design Result</t>
        </is>
      </c>
      <c r="T1353" t="inlineStr">
        <is>
          <t>none</t>
        </is>
      </c>
    </row>
    <row r="1354">
      <c r="A1354" t="n">
        <v>860</v>
      </c>
      <c r="C1354" t="inlineStr">
        <is>
          <t>Cold Formed Steel Design</t>
        </is>
      </c>
      <c r="D1354" t="inlineStr">
        <is>
          <t>Result</t>
        </is>
      </c>
      <c r="E1354" t="inlineStr">
        <is>
          <t>Cold Formed Steel Member Design Forces</t>
        </is>
      </c>
      <c r="F1354" t="inlineStr">
        <is>
          <t>Cold Formed Steel Member Design Forces</t>
        </is>
      </c>
      <c r="T1354" t="inlineStr">
        <is>
          <t>none</t>
        </is>
      </c>
    </row>
    <row r="1355">
      <c r="A1355" t="n">
        <v>861</v>
      </c>
      <c r="C1355" t="inlineStr">
        <is>
          <t>Cold Formed Steel Design</t>
        </is>
      </c>
      <c r="D1355" t="inlineStr">
        <is>
          <t>Result</t>
        </is>
      </c>
      <c r="E1355" t="inlineStr">
        <is>
          <t>Cold Formed Steel Member Design Forces</t>
        </is>
      </c>
      <c r="F1355" t="inlineStr">
        <is>
          <t>Effective Section Properties</t>
        </is>
      </c>
      <c r="T1355" t="inlineStr">
        <is>
          <t>none</t>
        </is>
      </c>
    </row>
    <row r="1356">
      <c r="A1356" t="n">
        <v>862</v>
      </c>
      <c r="C1356" t="inlineStr">
        <is>
          <t>Cold Formed Steel Design</t>
        </is>
      </c>
      <c r="D1356" t="inlineStr">
        <is>
          <t>Result</t>
        </is>
      </c>
      <c r="E1356" t="inlineStr">
        <is>
          <t>Cold Formed Steel Member Design Forces</t>
        </is>
      </c>
      <c r="F1356" t="inlineStr">
        <is>
          <t>Section Grade Table</t>
        </is>
      </c>
      <c r="T1356" t="inlineStr">
        <is>
          <t>none</t>
        </is>
      </c>
    </row>
    <row r="1357">
      <c r="A1357" t="n">
        <v>863</v>
      </c>
      <c r="C1357" t="inlineStr">
        <is>
          <t>Cold Formed Steel Design</t>
        </is>
      </c>
      <c r="D1357" t="inlineStr">
        <is>
          <t>Design Section</t>
        </is>
      </c>
      <c r="E1357" t="inlineStr">
        <is>
          <t>Section for Design</t>
        </is>
      </c>
      <c r="T1357" t="inlineStr">
        <is>
          <t>none</t>
        </is>
      </c>
    </row>
    <row r="1358">
      <c r="A1358" t="n">
        <v>864</v>
      </c>
      <c r="C1358" t="inlineStr">
        <is>
          <t>Cold Formed Steel Design</t>
        </is>
      </c>
      <c r="D1358" t="inlineStr">
        <is>
          <t>Batch Processing</t>
        </is>
      </c>
      <c r="E1358" t="inlineStr">
        <is>
          <t>Perform Batch Design</t>
        </is>
      </c>
      <c r="T1358" t="inlineStr">
        <is>
          <t>none</t>
        </is>
      </c>
    </row>
    <row r="1359">
      <c r="A1359" t="n">
        <v>865</v>
      </c>
      <c r="B1359" t="inlineStr">
        <is>
          <t>civil-nx</t>
        </is>
      </c>
      <c r="C1359" t="inlineStr">
        <is>
          <t>PSC Design</t>
        </is>
      </c>
      <c r="D1359" t="inlineStr">
        <is>
          <t>Design Input Data</t>
        </is>
      </c>
      <c r="E1359" t="inlineStr">
        <is>
          <t>Design Code Option</t>
        </is>
      </c>
      <c r="H1359" t="inlineStr">
        <is>
          <t>DESIGN</t>
        </is>
      </c>
      <c r="I1359" t="inlineStr">
        <is>
          <t>PSC</t>
        </is>
      </c>
      <c r="K1359" s="17" t="inlineStr">
        <is>
          <t>DPSC</t>
        </is>
      </c>
      <c r="N1359" t="inlineStr">
        <is>
          <t>progress</t>
        </is>
      </c>
      <c r="T1359" t="inlineStr">
        <is>
          <t>cancel</t>
        </is>
      </c>
      <c r="U1359" t="inlineStr">
        <is>
          <t>Bernard</t>
        </is>
      </c>
      <c r="V1359" t="inlineStr">
        <is>
          <t>260204 추진실 취소</t>
        </is>
      </c>
      <c r="Z1359">
        <f>IF(OR(K888="",K888="TABLE"),"",
_xlfn.TEXTJOIN(", ",TRUE,
IF(E888&lt;&gt;"",E888&amp;K888,""),
IF(F888&lt;&gt;"",F888&amp;K888,""),
IF(G888&lt;&gt;"",G888&amp;K888,"")
))</f>
        <v/>
      </c>
      <c r="AA1359">
        <f>IF(K888="","",IF(K888="TABLE","",K888))</f>
        <v/>
      </c>
      <c r="AB1359">
        <f>IF(ISNUMBER(SEARCH("기존변경필요",SUBSTITUTE(TRIM(V888),CHAR(10)," "))),"",
IFERROR(
  _xlfn.XLOOKUP(AA888,'기존 end point'!B:B,'기존 end point'!B:B,,0),
""))</f>
        <v/>
      </c>
    </row>
    <row r="1360">
      <c r="A1360" t="n">
        <v>866</v>
      </c>
      <c r="B1360" t="inlineStr">
        <is>
          <t>civil-nx</t>
        </is>
      </c>
      <c r="C1360" t="inlineStr">
        <is>
          <t>PSC Design</t>
        </is>
      </c>
      <c r="D1360" t="inlineStr">
        <is>
          <t>Design Input Data</t>
        </is>
      </c>
      <c r="E1360" t="inlineStr">
        <is>
          <t>Design Parameters</t>
        </is>
      </c>
      <c r="F1360" t="inlineStr">
        <is>
          <t>PSC Segment Assignment</t>
        </is>
      </c>
      <c r="H1360" t="inlineStr">
        <is>
          <t>DESIGN</t>
        </is>
      </c>
      <c r="I1360" t="inlineStr">
        <is>
          <t>PSC</t>
        </is>
      </c>
      <c r="N1360" t="inlineStr">
        <is>
          <t>progress</t>
        </is>
      </c>
      <c r="T1360" t="inlineStr">
        <is>
          <t>cancel</t>
        </is>
      </c>
      <c r="U1360" t="inlineStr">
        <is>
          <t>개발</t>
        </is>
      </c>
      <c r="V1360" t="inlineStr">
        <is>
          <t>260204 추진실 취소</t>
        </is>
      </c>
      <c r="Z1360">
        <f>IF(OR(K889="",K889="TABLE"),"",
_xlfn.TEXTJOIN(", ",TRUE,
IF(E889&lt;&gt;"",E889&amp;K889,""),
IF(F889&lt;&gt;"",F889&amp;K889,""),
IF(G889&lt;&gt;"",G889&amp;K889,"")
))</f>
        <v/>
      </c>
      <c r="AA1360">
        <f>IF(K889="","",IF(K889="TABLE","",K889))</f>
        <v/>
      </c>
      <c r="AB1360">
        <f>IF(ISNUMBER(SEARCH("기존변경필요",SUBSTITUTE(TRIM(V889),CHAR(10)," "))),"",
IFERROR(
  _xlfn.XLOOKUP(AA889,'기존 end point'!B:B,'기존 end point'!B:B,,0),
""))</f>
        <v/>
      </c>
    </row>
    <row r="1361">
      <c r="A1361" t="n">
        <v>867</v>
      </c>
      <c r="B1361" t="inlineStr">
        <is>
          <t>civil-nx</t>
        </is>
      </c>
      <c r="C1361" t="inlineStr">
        <is>
          <t>PSC Design</t>
        </is>
      </c>
      <c r="D1361" t="inlineStr">
        <is>
          <t>Design Input Data</t>
        </is>
      </c>
      <c r="E1361" t="inlineStr">
        <is>
          <t>Design Parameters</t>
        </is>
      </c>
      <c r="F1361" t="inlineStr">
        <is>
          <t>Serviceability Load Combination Type</t>
        </is>
      </c>
      <c r="H1361" t="inlineStr">
        <is>
          <t>DESIGN</t>
        </is>
      </c>
      <c r="I1361" t="inlineStr">
        <is>
          <t>PSC</t>
        </is>
      </c>
      <c r="K1361">
        <f>_xlfn.XLOOKUP(F890,'PARAMETER 공통'!$B$4:$B$53,'PARAMETER 공통'!$D$4:$D$53,,0,1)</f>
        <v/>
      </c>
      <c r="N1361" t="inlineStr">
        <is>
          <t>progress</t>
        </is>
      </c>
      <c r="T1361" t="inlineStr">
        <is>
          <t>cancel</t>
        </is>
      </c>
      <c r="U1361" t="inlineStr">
        <is>
          <t>개발</t>
        </is>
      </c>
      <c r="V1361" t="inlineStr">
        <is>
          <t>260204 추진실 취소</t>
        </is>
      </c>
      <c r="Z1361">
        <f>IF(OR(K890="",K890="TABLE"),"",
_xlfn.TEXTJOIN(", ",TRUE,
IF(E890&lt;&gt;"",E890&amp;K890,""),
IF(F890&lt;&gt;"",F890&amp;K890,""),
IF(G890&lt;&gt;"",G890&amp;K890,"")
))</f>
        <v/>
      </c>
      <c r="AA1361">
        <f>IF(K890="","",IF(K890="TABLE","",K890))</f>
        <v/>
      </c>
      <c r="AB1361">
        <f>IF(ISNUMBER(SEARCH("기존변경필요",SUBSTITUTE(TRIM(V890),CHAR(10)," "))),"",
IFERROR(
  _xlfn.XLOOKUP(AA890,'기존 end point'!B:B,'기존 end point'!B:B,,0),
""))</f>
        <v/>
      </c>
    </row>
    <row r="1362">
      <c r="A1362" t="n">
        <v>868</v>
      </c>
      <c r="B1362" t="inlineStr">
        <is>
          <t>civil-nx</t>
        </is>
      </c>
      <c r="C1362" t="inlineStr">
        <is>
          <t>PSC Design</t>
        </is>
      </c>
      <c r="D1362" t="inlineStr">
        <is>
          <t>Design Input Data</t>
        </is>
      </c>
      <c r="E1362" t="inlineStr">
        <is>
          <t>Design Parameters</t>
        </is>
      </c>
      <c r="F1362" t="inlineStr">
        <is>
          <t>Interface shear</t>
        </is>
      </c>
      <c r="H1362" t="inlineStr">
        <is>
          <t>DESIGN</t>
        </is>
      </c>
      <c r="I1362" t="inlineStr">
        <is>
          <t>PSC</t>
        </is>
      </c>
      <c r="N1362" t="inlineStr">
        <is>
          <t>progress</t>
        </is>
      </c>
      <c r="T1362" t="inlineStr">
        <is>
          <t>cancel</t>
        </is>
      </c>
      <c r="U1362" t="inlineStr">
        <is>
          <t>개발</t>
        </is>
      </c>
      <c r="V1362" t="inlineStr">
        <is>
          <t>260204 추진실 취소</t>
        </is>
      </c>
      <c r="Z1362">
        <f>IF(OR(K891="",K891="TABLE"),"",
_xlfn.TEXTJOIN(", ",TRUE,
IF(E891&lt;&gt;"",E891&amp;K891,""),
IF(F891&lt;&gt;"",F891&amp;K891,""),
IF(G891&lt;&gt;"",G891&amp;K891,"")
))</f>
        <v/>
      </c>
      <c r="AA1362">
        <f>IF(K891="","",IF(K891="TABLE","",K891))</f>
        <v/>
      </c>
      <c r="AB1362">
        <f>IF(ISNUMBER(SEARCH("기존변경필요",SUBSTITUTE(TRIM(V891),CHAR(10)," "))),"",
IFERROR(
  _xlfn.XLOOKUP(AA891,'기존 end point'!B:B,'기존 end point'!B:B,,0),
""))</f>
        <v/>
      </c>
    </row>
    <row r="1363">
      <c r="A1363" t="n">
        <v>869</v>
      </c>
      <c r="B1363" t="inlineStr">
        <is>
          <t>civil-nx</t>
        </is>
      </c>
      <c r="C1363" t="inlineStr">
        <is>
          <t>PSC Design</t>
        </is>
      </c>
      <c r="D1363" t="inlineStr">
        <is>
          <t>Design Input Data</t>
        </is>
      </c>
      <c r="E1363" t="inlineStr">
        <is>
          <t>Modify Material</t>
        </is>
      </c>
      <c r="H1363" t="inlineStr">
        <is>
          <t>DESIGN</t>
        </is>
      </c>
      <c r="I1363" t="inlineStr">
        <is>
          <t>PSC</t>
        </is>
      </c>
      <c r="N1363" t="inlineStr">
        <is>
          <t>progress</t>
        </is>
      </c>
      <c r="T1363" t="inlineStr">
        <is>
          <t>cancel</t>
        </is>
      </c>
      <c r="U1363" t="inlineStr">
        <is>
          <t>Liam</t>
        </is>
      </c>
      <c r="V1363" t="inlineStr">
        <is>
          <t>260204 추진실 취소</t>
        </is>
      </c>
      <c r="Z1363">
        <f>IF(OR(K892="",K892="TABLE"),"",
_xlfn.TEXTJOIN(", ",TRUE,
IF(E892&lt;&gt;"",E892&amp;K892,""),
IF(F892&lt;&gt;"",F892&amp;K892,""),
IF(G892&lt;&gt;"",G892&amp;K892,"")
))</f>
        <v/>
      </c>
      <c r="AA1363">
        <f>IF(K892="","",IF(K892="TABLE","",K892))</f>
        <v/>
      </c>
      <c r="AB1363">
        <f>IF(ISNUMBER(SEARCH("기존변경필요",SUBSTITUTE(TRIM(V892),CHAR(10)," "))),"",
IFERROR(
  _xlfn.XLOOKUP(AA892,'기존 end point'!B:B,'기존 end point'!B:B,,0),
""))</f>
        <v/>
      </c>
    </row>
    <row r="1364">
      <c r="A1364" t="n">
        <v>870</v>
      </c>
      <c r="B1364" t="inlineStr">
        <is>
          <t>civil-nx</t>
        </is>
      </c>
      <c r="C1364" t="inlineStr">
        <is>
          <t>PSC Design</t>
        </is>
      </c>
      <c r="D1364" t="inlineStr">
        <is>
          <t>Design Input Data</t>
        </is>
      </c>
      <c r="E1364" t="inlineStr">
        <is>
          <t>Design Position</t>
        </is>
      </c>
      <c r="F1364" t="inlineStr">
        <is>
          <t>Design Position</t>
        </is>
      </c>
      <c r="H1364" t="inlineStr">
        <is>
          <t>DESIGN</t>
        </is>
      </c>
      <c r="I1364" t="inlineStr">
        <is>
          <t>PSC</t>
        </is>
      </c>
      <c r="N1364" t="inlineStr">
        <is>
          <t>progress</t>
        </is>
      </c>
      <c r="T1364" t="inlineStr">
        <is>
          <t>cancel</t>
        </is>
      </c>
      <c r="U1364" t="inlineStr">
        <is>
          <t>개발</t>
        </is>
      </c>
      <c r="V1364" t="inlineStr">
        <is>
          <t>260204 추진실 취소</t>
        </is>
      </c>
      <c r="Z1364">
        <f>IF(OR(K893="",K893="TABLE"),"",
_xlfn.TEXTJOIN(", ",TRUE,
IF(E893&lt;&gt;"",E893&amp;K893,""),
IF(F893&lt;&gt;"",F893&amp;K893,""),
IF(G893&lt;&gt;"",G893&amp;K893,"")
))</f>
        <v/>
      </c>
      <c r="AA1364">
        <f>IF(K893="","",IF(K893="TABLE","",K893))</f>
        <v/>
      </c>
      <c r="AB1364">
        <f>IF(ISNUMBER(SEARCH("기존변경필요",SUBSTITUTE(TRIM(V893),CHAR(10)," "))),"",
IFERROR(
  _xlfn.XLOOKUP(AA893,'기존 end point'!B:B,'기존 end point'!B:B,,0),
""))</f>
        <v/>
      </c>
    </row>
    <row r="1365">
      <c r="A1365" t="n">
        <v>871</v>
      </c>
      <c r="B1365" t="inlineStr">
        <is>
          <t>civil-nx</t>
        </is>
      </c>
      <c r="C1365" t="inlineStr">
        <is>
          <t>PSC Design</t>
        </is>
      </c>
      <c r="D1365" t="inlineStr">
        <is>
          <t>Design Input Data</t>
        </is>
      </c>
      <c r="E1365" t="inlineStr">
        <is>
          <t>Design Position</t>
        </is>
      </c>
      <c r="F1365" t="inlineStr">
        <is>
          <t>Output Position</t>
        </is>
      </c>
      <c r="H1365" t="inlineStr">
        <is>
          <t>DESIGN</t>
        </is>
      </c>
      <c r="I1365" t="inlineStr">
        <is>
          <t>PSC</t>
        </is>
      </c>
      <c r="N1365" t="inlineStr">
        <is>
          <t>progress</t>
        </is>
      </c>
      <c r="T1365" t="inlineStr">
        <is>
          <t>cancel</t>
        </is>
      </c>
      <c r="U1365" t="inlineStr">
        <is>
          <t>개발</t>
        </is>
      </c>
      <c r="V1365" t="inlineStr">
        <is>
          <t>260204 추진실 취소</t>
        </is>
      </c>
      <c r="Z1365">
        <f>IF(OR(K894="",K894="TABLE"),"",
_xlfn.TEXTJOIN(", ",TRUE,
IF(E894&lt;&gt;"",E894&amp;K894,""),
IF(F894&lt;&gt;"",F894&amp;K894,""),
IF(G894&lt;&gt;"",G894&amp;K894,"")
))</f>
        <v/>
      </c>
      <c r="AA1365">
        <f>IF(K894="","",IF(K894="TABLE","",K894))</f>
        <v/>
      </c>
      <c r="AB1365">
        <f>IF(ISNUMBER(SEARCH("기존변경필요",SUBSTITUTE(TRIM(V894),CHAR(10)," "))),"",
IFERROR(
  _xlfn.XLOOKUP(AA894,'기존 end point'!B:B,'기존 end point'!B:B,,0),
""))</f>
        <v/>
      </c>
    </row>
    <row r="1366">
      <c r="A1366" t="n">
        <v>872</v>
      </c>
      <c r="B1366" t="inlineStr">
        <is>
          <t>civil-nx</t>
        </is>
      </c>
      <c r="C1366" t="inlineStr">
        <is>
          <t>PSC Design</t>
        </is>
      </c>
      <c r="D1366" t="inlineStr">
        <is>
          <t>Table</t>
        </is>
      </c>
      <c r="E1366" t="inlineStr">
        <is>
          <t>Result Tables</t>
        </is>
      </c>
      <c r="F1366" t="inlineStr">
        <is>
          <t>Check stress for csection ross at a construction stage</t>
        </is>
      </c>
      <c r="H1366" t="inlineStr">
        <is>
          <t>DESIGN</t>
        </is>
      </c>
      <c r="I1366" t="inlineStr">
        <is>
          <t>PSC</t>
        </is>
      </c>
      <c r="N1366" t="inlineStr">
        <is>
          <t>progress</t>
        </is>
      </c>
      <c r="T1366" t="inlineStr">
        <is>
          <t>cancel</t>
        </is>
      </c>
      <c r="U1366" t="inlineStr">
        <is>
          <t>Bernard</t>
        </is>
      </c>
      <c r="V1366" t="inlineStr">
        <is>
          <t>260204 추진실 취소</t>
        </is>
      </c>
      <c r="Z1366">
        <f>IF(OR(K895="",K895="TABLE"),"",
_xlfn.TEXTJOIN(", ",TRUE,
IF(E895&lt;&gt;"",E895&amp;K895,""),
IF(F895&lt;&gt;"",F895&amp;K895,""),
IF(G895&lt;&gt;"",G895&amp;K895,"")
))</f>
        <v/>
      </c>
      <c r="AA1366">
        <f>IF(K895="","",IF(K895="TABLE","",K895))</f>
        <v/>
      </c>
      <c r="AB1366">
        <f>IF(ISNUMBER(SEARCH("기존변경필요",SUBSTITUTE(TRIM(V895),CHAR(10)," "))),"",
IFERROR(
  _xlfn.XLOOKUP(AA895,'기존 end point'!B:B,'기존 end point'!B:B,,0),
""))</f>
        <v/>
      </c>
    </row>
    <row r="1367">
      <c r="A1367" t="n">
        <v>873</v>
      </c>
      <c r="B1367" t="inlineStr">
        <is>
          <t>civil-nx</t>
        </is>
      </c>
      <c r="C1367" t="inlineStr">
        <is>
          <t>PSC Design</t>
        </is>
      </c>
      <c r="D1367" t="inlineStr">
        <is>
          <t>Table</t>
        </is>
      </c>
      <c r="E1367" t="inlineStr">
        <is>
          <t>Result Tables</t>
        </is>
      </c>
      <c r="F1367" t="inlineStr">
        <is>
          <t>Check tensile stress for Prestressing tendons</t>
        </is>
      </c>
      <c r="H1367" t="inlineStr">
        <is>
          <t>DESIGN</t>
        </is>
      </c>
      <c r="I1367" t="inlineStr">
        <is>
          <t>PSC</t>
        </is>
      </c>
      <c r="N1367" t="inlineStr">
        <is>
          <t>progress</t>
        </is>
      </c>
      <c r="T1367" t="inlineStr">
        <is>
          <t>cancel</t>
        </is>
      </c>
      <c r="U1367" t="inlineStr">
        <is>
          <t>개발</t>
        </is>
      </c>
      <c r="V1367" t="inlineStr">
        <is>
          <t>260204 추진실 취소</t>
        </is>
      </c>
      <c r="Z1367">
        <f>IF(OR(K896="",K896="TABLE"),"",
_xlfn.TEXTJOIN(", ",TRUE,
IF(E896&lt;&gt;"",E896&amp;K896,""),
IF(F896&lt;&gt;"",F896&amp;K896,""),
IF(G896&lt;&gt;"",G896&amp;K896,"")
))</f>
        <v/>
      </c>
      <c r="AA1367">
        <f>IF(K896="","",IF(K896="TABLE","",K896))</f>
        <v/>
      </c>
      <c r="AB1367">
        <f>IF(ISNUMBER(SEARCH("기존변경필요",SUBSTITUTE(TRIM(V896),CHAR(10)," "))),"",
IFERROR(
  _xlfn.XLOOKUP(AA896,'기존 end point'!B:B,'기존 end point'!B:B,,0),
""))</f>
        <v/>
      </c>
    </row>
    <row r="1368">
      <c r="A1368" t="n">
        <v>874</v>
      </c>
      <c r="B1368" t="inlineStr">
        <is>
          <t>civil-nx</t>
        </is>
      </c>
      <c r="C1368" t="inlineStr">
        <is>
          <t>PSC Design</t>
        </is>
      </c>
      <c r="D1368" t="inlineStr">
        <is>
          <t>Table</t>
        </is>
      </c>
      <c r="E1368" t="inlineStr">
        <is>
          <t>Result Tables</t>
        </is>
      </c>
      <c r="F1368" t="inlineStr">
        <is>
          <t>Check stress for cross section at service loads</t>
        </is>
      </c>
      <c r="H1368" t="inlineStr">
        <is>
          <t>DESIGN</t>
        </is>
      </c>
      <c r="I1368" t="inlineStr">
        <is>
          <t>PSC</t>
        </is>
      </c>
      <c r="N1368" t="inlineStr">
        <is>
          <t>progress</t>
        </is>
      </c>
      <c r="T1368" t="inlineStr">
        <is>
          <t>cancel</t>
        </is>
      </c>
      <c r="U1368" t="inlineStr">
        <is>
          <t>기획</t>
        </is>
      </c>
      <c r="V1368" t="inlineStr">
        <is>
          <t>260204 추진실 취소</t>
        </is>
      </c>
      <c r="Z1368">
        <f>IF(OR(K897="",K897="TABLE"),"",
_xlfn.TEXTJOIN(", ",TRUE,
IF(E897&lt;&gt;"",E897&amp;K897,""),
IF(F897&lt;&gt;"",F897&amp;K897,""),
IF(G897&lt;&gt;"",G897&amp;K897,"")
))</f>
        <v/>
      </c>
      <c r="AA1368">
        <f>IF(K897="","",IF(K897="TABLE","",K897))</f>
        <v/>
      </c>
      <c r="AB1368">
        <f>IF(ISNUMBER(SEARCH("기존변경필요",SUBSTITUTE(TRIM(V897),CHAR(10)," "))),"",
IFERROR(
  _xlfn.XLOOKUP(AA897,'기존 end point'!B:B,'기존 end point'!B:B,,0),
""))</f>
        <v/>
      </c>
    </row>
    <row r="1369">
      <c r="A1369" t="n">
        <v>875</v>
      </c>
      <c r="B1369" t="inlineStr">
        <is>
          <t>civil-nx</t>
        </is>
      </c>
      <c r="C1369" t="inlineStr">
        <is>
          <t>PSC Design</t>
        </is>
      </c>
      <c r="D1369" t="inlineStr">
        <is>
          <t>Table</t>
        </is>
      </c>
      <c r="E1369" t="inlineStr">
        <is>
          <t>Result Tables</t>
        </is>
      </c>
      <c r="F1369" t="inlineStr">
        <is>
          <t>Principal stress at a construction stage</t>
        </is>
      </c>
      <c r="H1369" t="inlineStr">
        <is>
          <t>DESIGN</t>
        </is>
      </c>
      <c r="I1369" t="inlineStr">
        <is>
          <t>PSC</t>
        </is>
      </c>
      <c r="N1369" t="inlineStr">
        <is>
          <t>progress</t>
        </is>
      </c>
      <c r="T1369" t="inlineStr">
        <is>
          <t>cancel</t>
        </is>
      </c>
      <c r="U1369" t="inlineStr">
        <is>
          <t>기획</t>
        </is>
      </c>
      <c r="V1369" t="inlineStr">
        <is>
          <t>260204 추진실 취소</t>
        </is>
      </c>
      <c r="Z1369">
        <f>IF(OR(K898="",K898="TABLE"),"",
_xlfn.TEXTJOIN(", ",TRUE,
IF(E898&lt;&gt;"",E898&amp;K898,""),
IF(F898&lt;&gt;"",F898&amp;K898,""),
IF(G898&lt;&gt;"",G898&amp;K898,"")
))</f>
        <v/>
      </c>
      <c r="AA1369">
        <f>IF(K898="","",IF(K898="TABLE","",K898))</f>
        <v/>
      </c>
      <c r="AB1369">
        <f>IF(ISNUMBER(SEARCH("기존변경필요",SUBSTITUTE(TRIM(V898),CHAR(10)," "))),"",
IFERROR(
  _xlfn.XLOOKUP(AA898,'기존 end point'!B:B,'기존 end point'!B:B,,0),
""))</f>
        <v/>
      </c>
    </row>
    <row r="1370">
      <c r="A1370" t="n">
        <v>876</v>
      </c>
      <c r="B1370" t="inlineStr">
        <is>
          <t>civil-nx</t>
        </is>
      </c>
      <c r="C1370" t="inlineStr">
        <is>
          <t>PSC Design</t>
        </is>
      </c>
      <c r="D1370" t="inlineStr">
        <is>
          <t>Table</t>
        </is>
      </c>
      <c r="E1370" t="inlineStr">
        <is>
          <t>Result Tables</t>
        </is>
      </c>
      <c r="F1370" t="inlineStr">
        <is>
          <t>Principal stress at service loads (excluding torsional shear stress)</t>
        </is>
      </c>
      <c r="H1370" t="inlineStr">
        <is>
          <t>DESIGN</t>
        </is>
      </c>
      <c r="I1370" t="inlineStr">
        <is>
          <t>PSC</t>
        </is>
      </c>
      <c r="N1370" t="inlineStr">
        <is>
          <t>progress</t>
        </is>
      </c>
      <c r="T1370" t="inlineStr">
        <is>
          <t>cancel</t>
        </is>
      </c>
      <c r="U1370" t="inlineStr">
        <is>
          <t>기획</t>
        </is>
      </c>
      <c r="V1370" t="inlineStr">
        <is>
          <t>260204 추진실 취소</t>
        </is>
      </c>
      <c r="Z1370">
        <f>IF(OR(K899="",K899="TABLE"),"",
_xlfn.TEXTJOIN(", ",TRUE,
IF(E899&lt;&gt;"",E899&amp;K899,""),
IF(F899&lt;&gt;"",F899&amp;K899,""),
IF(G899&lt;&gt;"",G899&amp;K899,"")
))</f>
        <v/>
      </c>
      <c r="AA1370">
        <f>IF(K899="","",IF(K899="TABLE","",K899))</f>
        <v/>
      </c>
      <c r="AB1370">
        <f>IF(ISNUMBER(SEARCH("기존변경필요",SUBSTITUTE(TRIM(V899),CHAR(10)," "))),"",
IFERROR(
  _xlfn.XLOOKUP(AA899,'기존 end point'!B:B,'기존 end point'!B:B,,0),
""))</f>
        <v/>
      </c>
    </row>
    <row r="1371">
      <c r="A1371" t="n">
        <v>877</v>
      </c>
      <c r="B1371" t="inlineStr">
        <is>
          <t>civil-nx</t>
        </is>
      </c>
      <c r="C1371" t="inlineStr">
        <is>
          <t>PSC Design</t>
        </is>
      </c>
      <c r="D1371" t="inlineStr">
        <is>
          <t>Table</t>
        </is>
      </c>
      <c r="E1371" t="inlineStr">
        <is>
          <t>Result Tables</t>
        </is>
      </c>
      <c r="F1371" t="inlineStr">
        <is>
          <t>Principal stress at service loads</t>
        </is>
      </c>
      <c r="H1371" t="inlineStr">
        <is>
          <t>DESIGN</t>
        </is>
      </c>
      <c r="I1371" t="inlineStr">
        <is>
          <t>PSC</t>
        </is>
      </c>
      <c r="N1371" t="inlineStr">
        <is>
          <t>progress</t>
        </is>
      </c>
      <c r="T1371" t="inlineStr">
        <is>
          <t>cancel</t>
        </is>
      </c>
      <c r="U1371" t="inlineStr">
        <is>
          <t>기획</t>
        </is>
      </c>
      <c r="V1371" t="inlineStr">
        <is>
          <t>260204 추진실 취소</t>
        </is>
      </c>
      <c r="Z1371">
        <f>IF(OR(K900="",K900="TABLE"),"",
_xlfn.TEXTJOIN(", ",TRUE,
IF(E900&lt;&gt;"",E900&amp;K900,""),
IF(F900&lt;&gt;"",F900&amp;K900,""),
IF(G900&lt;&gt;"",G900&amp;K900,"")
))</f>
        <v/>
      </c>
      <c r="AA1371">
        <f>IF(K900="","",IF(K900="TABLE","",K900))</f>
        <v/>
      </c>
      <c r="AB1371">
        <f>IF(ISNUMBER(SEARCH("기존변경필요",SUBSTITUTE(TRIM(V900),CHAR(10)," "))),"",
IFERROR(
  _xlfn.XLOOKUP(AA900,'기존 end point'!B:B,'기존 end point'!B:B,,0),
""))</f>
        <v/>
      </c>
    </row>
    <row r="1372">
      <c r="A1372" t="n">
        <v>878</v>
      </c>
      <c r="B1372" t="inlineStr">
        <is>
          <t>civil-nx</t>
        </is>
      </c>
      <c r="C1372" t="inlineStr">
        <is>
          <t>PSC Design</t>
        </is>
      </c>
      <c r="D1372" t="inlineStr">
        <is>
          <t>Table</t>
        </is>
      </c>
      <c r="E1372" t="inlineStr">
        <is>
          <t>Result Tables</t>
        </is>
      </c>
      <c r="F1372" t="inlineStr">
        <is>
          <t>Check crack width at service loads</t>
        </is>
      </c>
      <c r="H1372" t="inlineStr">
        <is>
          <t>DESIGN</t>
        </is>
      </c>
      <c r="I1372" t="inlineStr">
        <is>
          <t>PSC</t>
        </is>
      </c>
      <c r="N1372" t="inlineStr">
        <is>
          <t>progress</t>
        </is>
      </c>
      <c r="T1372" t="inlineStr">
        <is>
          <t>cancel</t>
        </is>
      </c>
      <c r="U1372" t="inlineStr">
        <is>
          <t>개발</t>
        </is>
      </c>
      <c r="V1372" t="inlineStr">
        <is>
          <t>260204 추진실 취소</t>
        </is>
      </c>
      <c r="Z1372">
        <f>IF(OR(K901="",K901="TABLE"),"",
_xlfn.TEXTJOIN(", ",TRUE,
IF(E901&lt;&gt;"",E901&amp;K901,""),
IF(F901&lt;&gt;"",F901&amp;K901,""),
IF(G901&lt;&gt;"",G901&amp;K901,"")
))</f>
        <v/>
      </c>
      <c r="AA1372">
        <f>IF(K901="","",IF(K901="TABLE","",K901))</f>
        <v/>
      </c>
      <c r="AB1372">
        <f>IF(ISNUMBER(SEARCH("기존변경필요",SUBSTITUTE(TRIM(V901),CHAR(10)," "))),"",
IFERROR(
  _xlfn.XLOOKUP(AA901,'기존 end point'!B:B,'기존 end point'!B:B,,0),
""))</f>
        <v/>
      </c>
    </row>
    <row r="1373">
      <c r="A1373" t="n">
        <v>879</v>
      </c>
      <c r="B1373" t="inlineStr">
        <is>
          <t>civil-nx</t>
        </is>
      </c>
      <c r="C1373" t="inlineStr">
        <is>
          <t>PSC Design</t>
        </is>
      </c>
      <c r="D1373" t="inlineStr">
        <is>
          <t>Table</t>
        </is>
      </c>
      <c r="E1373" t="inlineStr">
        <is>
          <t>Result Tables</t>
        </is>
      </c>
      <c r="F1373" t="inlineStr">
        <is>
          <t>Check Flexure Strength</t>
        </is>
      </c>
      <c r="H1373" t="inlineStr">
        <is>
          <t>DESIGN</t>
        </is>
      </c>
      <c r="I1373" t="inlineStr">
        <is>
          <t>PSC</t>
        </is>
      </c>
      <c r="N1373" t="inlineStr">
        <is>
          <t>progress</t>
        </is>
      </c>
      <c r="T1373" t="inlineStr">
        <is>
          <t>cancel</t>
        </is>
      </c>
      <c r="U1373" t="inlineStr">
        <is>
          <t>개발</t>
        </is>
      </c>
      <c r="V1373" t="inlineStr">
        <is>
          <t>260204 추진실 취소</t>
        </is>
      </c>
      <c r="Z1373">
        <f>IF(OR(K902="",K902="TABLE"),"",
_xlfn.TEXTJOIN(", ",TRUE,
IF(E902&lt;&gt;"",E902&amp;K902,""),
IF(F902&lt;&gt;"",F902&amp;K902,""),
IF(G902&lt;&gt;"",G902&amp;K902,"")
))</f>
        <v/>
      </c>
      <c r="AA1373">
        <f>IF(K902="","",IF(K902="TABLE","",K902))</f>
        <v/>
      </c>
      <c r="AB1373">
        <f>IF(ISNUMBER(SEARCH("기존변경필요",SUBSTITUTE(TRIM(V902),CHAR(10)," "))),"",
IFERROR(
  _xlfn.XLOOKUP(AA902,'기존 end point'!B:B,'기존 end point'!B:B,,0),
""))</f>
        <v/>
      </c>
    </row>
    <row r="1374">
      <c r="A1374" t="n">
        <v>880</v>
      </c>
      <c r="B1374" t="inlineStr">
        <is>
          <t>civil-nx</t>
        </is>
      </c>
      <c r="C1374" t="inlineStr">
        <is>
          <t>PSC Design</t>
        </is>
      </c>
      <c r="D1374" t="inlineStr">
        <is>
          <t>Table</t>
        </is>
      </c>
      <c r="E1374" t="inlineStr">
        <is>
          <t>Result Tables</t>
        </is>
      </c>
      <c r="F1374" t="inlineStr">
        <is>
          <t>Check Shear Strength</t>
        </is>
      </c>
      <c r="H1374" t="inlineStr">
        <is>
          <t>DESIGN</t>
        </is>
      </c>
      <c r="I1374" t="inlineStr">
        <is>
          <t>PSC</t>
        </is>
      </c>
      <c r="N1374" t="inlineStr">
        <is>
          <t>progress</t>
        </is>
      </c>
      <c r="T1374" t="inlineStr">
        <is>
          <t>cancel</t>
        </is>
      </c>
      <c r="U1374" t="inlineStr">
        <is>
          <t>개발</t>
        </is>
      </c>
      <c r="V1374" t="inlineStr">
        <is>
          <t>260204 추진실 취소</t>
        </is>
      </c>
      <c r="Z1374">
        <f>IF(OR(K903="",K903="TABLE"),"",
_xlfn.TEXTJOIN(", ",TRUE,
IF(E903&lt;&gt;"",E903&amp;K903,""),
IF(F903&lt;&gt;"",F903&amp;K903,""),
IF(G903&lt;&gt;"",G903&amp;K903,"")
))</f>
        <v/>
      </c>
      <c r="AA1374">
        <f>IF(K903="","",IF(K903="TABLE","",K903))</f>
        <v/>
      </c>
      <c r="AB1374">
        <f>IF(ISNUMBER(SEARCH("기존변경필요",SUBSTITUTE(TRIM(V903),CHAR(10)," "))),"",
IFERROR(
  _xlfn.XLOOKUP(AA903,'기존 end point'!B:B,'기존 end point'!B:B,,0),
""))</f>
        <v/>
      </c>
    </row>
    <row r="1375">
      <c r="A1375" t="n">
        <v>881</v>
      </c>
      <c r="B1375" t="inlineStr">
        <is>
          <t>civil-nx</t>
        </is>
      </c>
      <c r="C1375" t="inlineStr">
        <is>
          <t>PSC Design</t>
        </is>
      </c>
      <c r="D1375" t="inlineStr">
        <is>
          <t>Table</t>
        </is>
      </c>
      <c r="E1375" t="inlineStr">
        <is>
          <t>Result Tables</t>
        </is>
      </c>
      <c r="F1375" t="inlineStr">
        <is>
          <t>Check Combined Shear and Torsion Strength</t>
        </is>
      </c>
      <c r="H1375" t="inlineStr">
        <is>
          <t>DESIGN</t>
        </is>
      </c>
      <c r="I1375" t="inlineStr">
        <is>
          <t>PSC</t>
        </is>
      </c>
      <c r="N1375" t="inlineStr">
        <is>
          <t>progress</t>
        </is>
      </c>
      <c r="T1375" t="inlineStr">
        <is>
          <t>cancel</t>
        </is>
      </c>
      <c r="U1375" t="inlineStr">
        <is>
          <t>개발</t>
        </is>
      </c>
      <c r="V1375" t="inlineStr">
        <is>
          <t>260204 추진실 취소</t>
        </is>
      </c>
      <c r="Z1375">
        <f>IF(OR(K904="",K904="TABLE"),"",
_xlfn.TEXTJOIN(", ",TRUE,
IF(E904&lt;&gt;"",E904&amp;K904,""),
IF(F904&lt;&gt;"",F904&amp;K904,""),
IF(G904&lt;&gt;"",G904&amp;K904,"")
))</f>
        <v/>
      </c>
      <c r="AA1375">
        <f>IF(K904="","",IF(K904="TABLE","",K904))</f>
        <v/>
      </c>
      <c r="AB1375">
        <f>IF(ISNUMBER(SEARCH("기존변경필요",SUBSTITUTE(TRIM(V904),CHAR(10)," "))),"",
IFERROR(
  _xlfn.XLOOKUP(AA904,'기존 end point'!B:B,'기존 end point'!B:B,,0),
""))</f>
        <v/>
      </c>
    </row>
    <row r="1376">
      <c r="A1376" t="n">
        <v>882</v>
      </c>
      <c r="B1376" t="inlineStr">
        <is>
          <t>civil-nx</t>
        </is>
      </c>
      <c r="C1376" t="inlineStr">
        <is>
          <t>PSC Design</t>
        </is>
      </c>
      <c r="D1376" t="inlineStr">
        <is>
          <t>Table</t>
        </is>
      </c>
      <c r="E1376" t="inlineStr">
        <is>
          <t>PSC Result Diagram</t>
        </is>
      </c>
      <c r="H1376" t="inlineStr">
        <is>
          <t>DESIGN</t>
        </is>
      </c>
      <c r="I1376" t="inlineStr">
        <is>
          <t>PSC</t>
        </is>
      </c>
      <c r="N1376" t="inlineStr">
        <is>
          <t>progress</t>
        </is>
      </c>
      <c r="T1376" t="inlineStr">
        <is>
          <t>cancel</t>
        </is>
      </c>
      <c r="U1376" t="inlineStr">
        <is>
          <t>기획</t>
        </is>
      </c>
      <c r="V1376" t="inlineStr">
        <is>
          <t>260204 추진실 취소</t>
        </is>
      </c>
      <c r="Z1376">
        <f>IF(OR(K905="",K905="TABLE"),"",
_xlfn.TEXTJOIN(", ",TRUE,
IF(E905&lt;&gt;"",E905&amp;K905,""),
IF(F905&lt;&gt;"",F905&amp;K905,""),
IF(G905&lt;&gt;"",G905&amp;K905,"")
))</f>
        <v/>
      </c>
      <c r="AA1376">
        <f>IF(K905="","",IF(K905="TABLE","",K905))</f>
        <v/>
      </c>
      <c r="AB1376">
        <f>IF(ISNUMBER(SEARCH("기존변경필요",SUBSTITUTE(TRIM(V905),CHAR(10)," "))),"",
IFERROR(
  _xlfn.XLOOKUP(AA905,'기존 end point'!B:B,'기존 end point'!B:B,,0),
""))</f>
        <v/>
      </c>
    </row>
    <row r="1377">
      <c r="A1377" t="n">
        <v>883</v>
      </c>
      <c r="B1377" t="inlineStr">
        <is>
          <t>civil-nx</t>
        </is>
      </c>
      <c r="C1377" t="inlineStr">
        <is>
          <t>PSC Design</t>
        </is>
      </c>
      <c r="D1377" t="inlineStr">
        <is>
          <t>Table</t>
        </is>
      </c>
      <c r="E1377" t="inlineStr">
        <is>
          <t>Excel Report</t>
        </is>
      </c>
      <c r="H1377" t="inlineStr">
        <is>
          <t>DESIGN</t>
        </is>
      </c>
      <c r="I1377" t="inlineStr">
        <is>
          <t>PSC</t>
        </is>
      </c>
      <c r="N1377" t="inlineStr">
        <is>
          <t>progress</t>
        </is>
      </c>
      <c r="T1377" t="inlineStr">
        <is>
          <t>cancel</t>
        </is>
      </c>
      <c r="U1377" t="inlineStr">
        <is>
          <t>개발</t>
        </is>
      </c>
      <c r="V1377" t="inlineStr">
        <is>
          <t>260204 추진실 취소</t>
        </is>
      </c>
      <c r="Z1377">
        <f>IF(OR(K906="",K906="TABLE"),"",
_xlfn.TEXTJOIN(", ",TRUE,
IF(E906&lt;&gt;"",E906&amp;K906,""),
IF(F906&lt;&gt;"",F906&amp;K906,""),
IF(G906&lt;&gt;"",G906&amp;K906,"")
))</f>
        <v/>
      </c>
      <c r="AA1377">
        <f>IF(K906="","",IF(K906="TABLE","",K906))</f>
        <v/>
      </c>
      <c r="AB1377">
        <f>IF(ISNUMBER(SEARCH("기존변경필요",SUBSTITUTE(TRIM(V906),CHAR(10)," "))),"",
IFERROR(
  _xlfn.XLOOKUP(AA906,'기존 end point'!B:B,'기존 end point'!B:B,,0),
""))</f>
        <v/>
      </c>
    </row>
    <row r="1378">
      <c r="A1378" t="n">
        <v>884</v>
      </c>
      <c r="B1378" t="inlineStr">
        <is>
          <t>civil-nx</t>
        </is>
      </c>
      <c r="C1378" t="inlineStr">
        <is>
          <t>PSC Design</t>
        </is>
      </c>
      <c r="D1378" t="inlineStr">
        <is>
          <t>Perform</t>
        </is>
      </c>
      <c r="E1378" t="inlineStr">
        <is>
          <t>Perform Design</t>
        </is>
      </c>
      <c r="H1378" t="inlineStr">
        <is>
          <t>DESIGN</t>
        </is>
      </c>
      <c r="I1378" t="inlineStr">
        <is>
          <t>PSC</t>
        </is>
      </c>
      <c r="N1378" t="inlineStr">
        <is>
          <t>progress</t>
        </is>
      </c>
      <c r="T1378" t="inlineStr">
        <is>
          <t>cancel</t>
        </is>
      </c>
      <c r="U1378" t="inlineStr">
        <is>
          <t>개발</t>
        </is>
      </c>
      <c r="V1378" t="inlineStr">
        <is>
          <t>260204 추진실 취소</t>
        </is>
      </c>
      <c r="Z1378">
        <f>IF(OR(K907="",K907="TABLE"),"",
_xlfn.TEXTJOIN(", ",TRUE,
IF(E907&lt;&gt;"",E907&amp;K907,""),
IF(F907&lt;&gt;"",F907&amp;K907,""),
IF(G907&lt;&gt;"",G907&amp;K907,"")
))</f>
        <v/>
      </c>
      <c r="AA1378">
        <f>IF(K907="","",IF(K907="TABLE","",K907))</f>
        <v/>
      </c>
      <c r="AB1378">
        <f>IF(ISNUMBER(SEARCH("기존변경필요",SUBSTITUTE(TRIM(V907),CHAR(10)," "))),"",
IFERROR(
  _xlfn.XLOOKUP(AA907,'기존 end point'!B:B,'기존 end point'!B:B,,0),
""))</f>
        <v/>
      </c>
    </row>
    <row r="1379">
      <c r="A1379" t="n">
        <v>885</v>
      </c>
      <c r="B1379" t="inlineStr">
        <is>
          <t>civil-nx</t>
        </is>
      </c>
      <c r="C1379" t="inlineStr">
        <is>
          <t>PSC Design</t>
        </is>
      </c>
      <c r="D1379" t="inlineStr">
        <is>
          <t>Table</t>
        </is>
      </c>
      <c r="E1379" t="inlineStr">
        <is>
          <t>Design Forces</t>
        </is>
      </c>
      <c r="H1379" t="inlineStr">
        <is>
          <t>DESIGN</t>
        </is>
      </c>
      <c r="I1379" t="inlineStr">
        <is>
          <t>PSC</t>
        </is>
      </c>
      <c r="N1379" t="inlineStr">
        <is>
          <t>progress</t>
        </is>
      </c>
      <c r="T1379" t="inlineStr">
        <is>
          <t>cancel</t>
        </is>
      </c>
      <c r="U1379" t="inlineStr">
        <is>
          <t>개발</t>
        </is>
      </c>
      <c r="V1379" t="inlineStr">
        <is>
          <t>260204 추진실 취소</t>
        </is>
      </c>
      <c r="Z1379">
        <f>IF(OR(K908="",K908="TABLE"),"",
_xlfn.TEXTJOIN(", ",TRUE,
IF(E908&lt;&gt;"",E908&amp;K908,""),
IF(F908&lt;&gt;"",F908&amp;K908,""),
IF(G908&lt;&gt;"",G908&amp;K908,"")
))</f>
        <v/>
      </c>
      <c r="AA1379">
        <f>IF(K908="","",IF(K908="TABLE","",K908))</f>
        <v/>
      </c>
      <c r="AB1379">
        <f>IF(ISNUMBER(SEARCH("기존변경필요",SUBSTITUTE(TRIM(V908),CHAR(10)," "))),"",
IFERROR(
  _xlfn.XLOOKUP(AA908,'기존 end point'!B:B,'기존 end point'!B:B,,0),
""))</f>
        <v/>
      </c>
    </row>
    <row r="1380">
      <c r="A1380" t="n">
        <v>886</v>
      </c>
      <c r="T1380" t="inlineStr">
        <is>
          <t>none</t>
        </is>
      </c>
    </row>
    <row r="1381">
      <c r="A1381" t="n">
        <v>887</v>
      </c>
      <c r="AA1381">
        <f>IF(K910="","",IF(K910="TABLE","",K910))</f>
        <v/>
      </c>
      <c r="AB1381">
        <f>IF(ISNUMBER(SEARCH("기존변경필요",SUBSTITUTE(TRIM(V910),CHAR(10)," "))),"",
IFERROR(
  _xlfn.XLOOKUP(AA910,'기존 end point'!B:B,'기존 end point'!B:B,,0),
""))</f>
        <v/>
      </c>
    </row>
    <row r="1382">
      <c r="A1382" t="n">
        <v>888</v>
      </c>
      <c r="AB1382">
        <f>IF(ISNUMBER(SEARCH("기존변경필요",SUBSTITUTE(TRIM(V911),CHAR(10)," "))),"",
IFERROR(
  _xlfn.XLOOKUP(AA911,'기존 end point'!B:B,'기존 end point'!B:B,,0),
""))</f>
        <v/>
      </c>
    </row>
    <row r="1383">
      <c r="A1383" t="n">
        <v>889</v>
      </c>
      <c r="AB1383">
        <f>IF(ISNUMBER(SEARCH("기존변경필요",SUBSTITUTE(TRIM(V912),CHAR(10)," "))),"",
IFERROR(
  _xlfn.XLOOKUP(AA912,'기존 end point'!B:B,'기존 end point'!B:B,,0),
""))</f>
        <v/>
      </c>
    </row>
    <row r="1384">
      <c r="A1384" t="n">
        <v>890</v>
      </c>
    </row>
    <row r="1385">
      <c r="A1385" t="n">
        <v>891</v>
      </c>
    </row>
    <row r="1386">
      <c r="A1386" t="n">
        <v>892</v>
      </c>
    </row>
    <row r="1387">
      <c r="A1387" t="n">
        <v>893</v>
      </c>
    </row>
    <row r="1388">
      <c r="A1388" t="n">
        <v>894</v>
      </c>
    </row>
    <row r="1389">
      <c r="A1389" t="n">
        <v>895</v>
      </c>
    </row>
    <row r="1390">
      <c r="A1390" t="n">
        <v>896</v>
      </c>
    </row>
    <row r="1391">
      <c r="A1391" t="n">
        <v>897</v>
      </c>
    </row>
    <row r="1392">
      <c r="A1392" t="n">
        <v>898</v>
      </c>
    </row>
    <row r="1393">
      <c r="A1393" t="n">
        <v>899</v>
      </c>
    </row>
    <row r="1394">
      <c r="A1394" t="n">
        <v>900</v>
      </c>
    </row>
  </sheetData>
  <autoFilter ref="A2:W923"/>
  <conditionalFormatting sqref="T1:T754 T757 T760 T762:T763 T766:T1048576">
    <cfRule type="cellIs" priority="5" operator="equal" dxfId="0">
      <formula>"cancel"</formula>
    </cfRule>
  </conditionalFormatting>
  <conditionalFormatting sqref="T660:T663 T666:T675 T677:T754 T757 T760 T762:T763 T766:T770 T773:T777">
    <cfRule type="cellIs" priority="6" operator="equal" dxfId="1">
      <formula>"Done"</formula>
    </cfRule>
  </conditionalFormatting>
  <conditionalFormatting sqref="T806">
    <cfRule type="cellIs" priority="1" operator="equal" dxfId="1">
      <formula>"Done"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100" zoomScaleNormal="100" workbookViewId="0">
      <selection activeCell="B11" sqref="B11"/>
    </sheetView>
  </sheetViews>
  <sheetFormatPr baseColWidth="8" defaultRowHeight="17.25" customHeight="1" outlineLevelRow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E55"/>
  <sheetViews>
    <sheetView zoomScale="100" zoomScaleNormal="100" workbookViewId="0">
      <selection activeCell="E47" sqref="E47"/>
    </sheetView>
  </sheetViews>
  <sheetFormatPr baseColWidth="8" defaultRowHeight="17.25" customHeight="1" outlineLevelRow="0"/>
  <cols>
    <col width="38.77734375" customWidth="1" min="2" max="2"/>
    <col width="11.88671875" customWidth="1" min="3" max="3"/>
  </cols>
  <sheetData>
    <row r="3">
      <c r="B3" s="18" t="inlineStr">
        <is>
          <t>항목</t>
        </is>
      </c>
      <c r="C3" s="18" t="inlineStr">
        <is>
          <t>등장 횟수</t>
        </is>
      </c>
      <c r="D3" t="inlineStr">
        <is>
          <t>엔드포인트</t>
        </is>
      </c>
      <c r="E3" t="inlineStr">
        <is>
          <t>비고</t>
        </is>
      </c>
    </row>
    <row r="4">
      <c r="B4" s="6" t="inlineStr">
        <is>
          <t>Unbraced Length (L, Lb)</t>
        </is>
      </c>
      <c r="C4" s="27" t="n">
        <v>6</v>
      </c>
      <c r="D4" s="6" t="inlineStr">
        <is>
          <t>LENG</t>
        </is>
      </c>
      <c r="E4" s="6" t="inlineStr">
        <is>
          <t>기존</t>
        </is>
      </c>
    </row>
    <row r="5">
      <c r="B5" t="inlineStr">
        <is>
          <t>Effective Length Factor (K)</t>
        </is>
      </c>
      <c r="C5" s="18" t="n">
        <v>6</v>
      </c>
      <c r="D5" t="inlineStr">
        <is>
          <t>KFAC</t>
        </is>
      </c>
    </row>
    <row r="6">
      <c r="B6" t="inlineStr">
        <is>
          <t>Equivalent Moment Correction Factor(Cm)</t>
        </is>
      </c>
      <c r="C6" s="18" t="n">
        <v>6</v>
      </c>
      <c r="D6" t="inlineStr">
        <is>
          <t>CMFT</t>
        </is>
      </c>
    </row>
    <row r="7">
      <c r="B7" t="inlineStr">
        <is>
          <t>Moment Magnifier(B1/Delta_b, B2/Delta_s)</t>
        </is>
      </c>
      <c r="C7" s="18" t="n">
        <v>6</v>
      </c>
      <c r="D7" t="inlineStr">
        <is>
          <t>FMAG</t>
        </is>
      </c>
    </row>
    <row r="8">
      <c r="B8" t="inlineStr">
        <is>
          <t>Modify Live Load Reduction Factor</t>
        </is>
      </c>
      <c r="C8" s="18" t="n">
        <v>6</v>
      </c>
      <c r="D8" t="inlineStr">
        <is>
          <t>MLLR</t>
        </is>
      </c>
    </row>
    <row r="9">
      <c r="B9" t="inlineStr">
        <is>
          <t>Scale up Factor for Earthquake</t>
        </is>
      </c>
      <c r="C9" s="18" t="n">
        <v>6</v>
      </c>
      <c r="D9" t="inlineStr">
        <is>
          <t>SUEQ</t>
        </is>
      </c>
    </row>
    <row r="10">
      <c r="B10" t="inlineStr">
        <is>
          <t>Modify Member Type</t>
        </is>
      </c>
      <c r="C10" s="18" t="n">
        <v>6</v>
      </c>
      <c r="D10" t="inlineStr">
        <is>
          <t>MBTP</t>
        </is>
      </c>
      <c r="E10" t="inlineStr">
        <is>
          <t>기존</t>
        </is>
      </c>
    </row>
    <row r="11">
      <c r="B11" t="inlineStr">
        <is>
          <t>Seismic Load Combination Type</t>
        </is>
      </c>
      <c r="C11" s="18" t="n">
        <v>6</v>
      </c>
      <c r="D11" t="inlineStr">
        <is>
          <t>EQCT</t>
        </is>
      </c>
    </row>
    <row r="14">
      <c r="B14" s="18" t="inlineStr">
        <is>
          <t>항목</t>
        </is>
      </c>
      <c r="C14" s="18" t="inlineStr">
        <is>
          <t>등장 횟수</t>
        </is>
      </c>
    </row>
    <row r="15">
      <c r="B15" t="inlineStr">
        <is>
          <t>Definition of Frame</t>
        </is>
      </c>
      <c r="C15" s="18" t="n">
        <v>3</v>
      </c>
      <c r="D15" t="inlineStr">
        <is>
          <t>DCTL</t>
        </is>
      </c>
      <c r="E15" t="inlineStr">
        <is>
          <t>기존</t>
        </is>
      </c>
    </row>
    <row r="16">
      <c r="B16" t="inlineStr">
        <is>
          <t>Live Load Reduction Factor</t>
        </is>
      </c>
      <c r="C16" s="18" t="n">
        <v>3</v>
      </c>
      <c r="D16" t="inlineStr">
        <is>
          <t>LLRF</t>
        </is>
      </c>
    </row>
    <row r="17">
      <c r="B17" t="inlineStr">
        <is>
          <t>Short/Long term Load Case</t>
        </is>
      </c>
      <c r="C17" s="18" t="n">
        <v>3</v>
      </c>
      <c r="D17" t="inlineStr">
        <is>
          <t>SLTC</t>
        </is>
      </c>
    </row>
    <row r="18">
      <c r="B18" t="inlineStr">
        <is>
          <t>Load Contribution for Nonlinear Load Case</t>
        </is>
      </c>
      <c r="C18" s="18" t="n">
        <v>3</v>
      </c>
      <c r="D18" t="inlineStr">
        <is>
          <t>LCTB</t>
        </is>
      </c>
    </row>
    <row r="19">
      <c r="B19" t="inlineStr">
        <is>
          <t>Member Assignment</t>
        </is>
      </c>
      <c r="C19" s="18" t="n">
        <v>3</v>
      </c>
      <c r="D19" t="inlineStr">
        <is>
          <t>MEMB</t>
        </is>
      </c>
      <c r="E19" t="inlineStr">
        <is>
          <t>기존</t>
        </is>
      </c>
    </row>
    <row r="20">
      <c r="B20" t="inlineStr">
        <is>
          <t>Reverse Member Load Direction</t>
        </is>
      </c>
      <c r="C20" s="18" t="n">
        <v>3</v>
      </c>
      <c r="D20" t="inlineStr">
        <is>
          <t>RMLD</t>
        </is>
      </c>
    </row>
    <row r="21">
      <c r="B21" t="inlineStr">
        <is>
          <t>Undergroung Load Combination Type</t>
        </is>
      </c>
      <c r="C21" s="18" t="n">
        <v>3</v>
      </c>
      <c r="D21" t="inlineStr">
        <is>
          <t>ULCT</t>
        </is>
      </c>
    </row>
    <row r="22">
      <c r="B22" t="inlineStr">
        <is>
          <t>Serviceability Load Combination Type</t>
        </is>
      </c>
      <c r="C22" s="18" t="n">
        <v>3</v>
      </c>
      <c r="D22" t="inlineStr">
        <is>
          <t>SLCT</t>
        </is>
      </c>
    </row>
    <row r="23">
      <c r="B23" t="inlineStr">
        <is>
          <t>Limiting Slenderness Ratio</t>
        </is>
      </c>
      <c r="C23" s="18" t="n">
        <v>3</v>
      </c>
      <c r="D23" t="inlineStr">
        <is>
          <t>LTSR</t>
        </is>
      </c>
      <c r="E23" t="inlineStr">
        <is>
          <t>기존</t>
        </is>
      </c>
    </row>
    <row r="25">
      <c r="B25" s="18" t="inlineStr">
        <is>
          <t>항목</t>
        </is>
      </c>
      <c r="C25" s="18" t="inlineStr">
        <is>
          <t>등장 횟수</t>
        </is>
      </c>
    </row>
    <row r="26">
      <c r="B26" t="inlineStr">
        <is>
          <t>Haunched Beam Assignment</t>
        </is>
      </c>
      <c r="C26" s="18" t="n">
        <v>2</v>
      </c>
      <c r="D26" t="inlineStr">
        <is>
          <t>HCBM</t>
        </is>
      </c>
    </row>
    <row r="27">
      <c r="B27" t="inlineStr">
        <is>
          <t>Strength Reduction Factors</t>
        </is>
      </c>
      <c r="C27" s="18" t="n">
        <v>2</v>
      </c>
      <c r="D27" t="inlineStr">
        <is>
          <t>SRDF</t>
        </is>
      </c>
    </row>
    <row r="28">
      <c r="B28" t="inlineStr">
        <is>
          <t>Serviceability Parameters</t>
        </is>
      </c>
      <c r="C28" s="18" t="inlineStr">
        <is>
          <t>2 (오타 포함)</t>
        </is>
      </c>
      <c r="D28" t="inlineStr">
        <is>
          <t>SERV</t>
        </is>
      </c>
    </row>
    <row r="29">
      <c r="B29" t="inlineStr">
        <is>
          <t>Bending Coefficient(Cb)</t>
        </is>
      </c>
      <c r="C29" s="18" t="n">
        <v>2</v>
      </c>
      <c r="D29" t="inlineStr">
        <is>
          <t>CBFT</t>
        </is>
      </c>
    </row>
    <row r="30">
      <c r="B30" t="inlineStr">
        <is>
          <t>Shear Coefficient(Cv)</t>
        </is>
      </c>
      <c r="C30" s="18" t="n">
        <v>2</v>
      </c>
      <c r="D30" t="inlineStr">
        <is>
          <t>SCOEF</t>
        </is>
      </c>
    </row>
    <row r="31">
      <c r="B31" t="inlineStr">
        <is>
          <t>Specify Allowable Stresses</t>
        </is>
      </c>
      <c r="C31" s="18" t="n">
        <v>2</v>
      </c>
      <c r="D31" t="inlineStr">
        <is>
          <t>SPAS</t>
        </is>
      </c>
    </row>
    <row r="32">
      <c r="B32" t="inlineStr">
        <is>
          <t>Seismic Load Resisting System by Member</t>
        </is>
      </c>
      <c r="C32" s="18" t="n">
        <v>2</v>
      </c>
      <c r="D32" t="inlineStr">
        <is>
          <t>SLRS</t>
        </is>
      </c>
    </row>
    <row r="33">
      <c r="B33" t="inlineStr">
        <is>
          <t>Longitudinal Stiffener of Box Section</t>
        </is>
      </c>
      <c r="C33" s="18" t="n">
        <v>2</v>
      </c>
      <c r="D33" t="inlineStr">
        <is>
          <t>LSTIFB</t>
        </is>
      </c>
    </row>
    <row r="34">
      <c r="B34" t="inlineStr">
        <is>
          <t>Combined Ratio Calculation Method for Circular Section</t>
        </is>
      </c>
      <c r="C34" s="18" t="n">
        <v>2</v>
      </c>
      <c r="D34" t="inlineStr">
        <is>
          <t>CRCMC</t>
        </is>
      </c>
    </row>
    <row r="35">
      <c r="B35" t="inlineStr">
        <is>
          <t>Earthquake-Resistant Grade</t>
        </is>
      </c>
      <c r="C35" s="18" t="n">
        <v>2</v>
      </c>
      <c r="D35" t="inlineStr">
        <is>
          <t>EQRG</t>
        </is>
      </c>
    </row>
    <row r="36">
      <c r="B36" t="inlineStr">
        <is>
          <t>Seismic Design Type</t>
        </is>
      </c>
      <c r="C36" s="18" t="n">
        <v>2</v>
      </c>
      <c r="D36" t="inlineStr">
        <is>
          <t>EQDT</t>
        </is>
      </c>
    </row>
    <row r="37">
      <c r="B37" t="inlineStr">
        <is>
          <t>Moment Redistribution Factor</t>
        </is>
      </c>
      <c r="C37" s="18" t="n">
        <v>2</v>
      </c>
      <c r="D37" t="inlineStr">
        <is>
          <t>MRFAC</t>
        </is>
      </c>
    </row>
    <row r="38">
      <c r="B38" t="inlineStr">
        <is>
          <t>Torsion Reduction Factor</t>
        </is>
      </c>
      <c r="C38" s="18" t="n">
        <v>2</v>
      </c>
      <c r="D38" t="inlineStr">
        <is>
          <t>TRFAC</t>
        </is>
      </c>
    </row>
    <row r="39">
      <c r="B39" t="inlineStr">
        <is>
          <t>Uncertainty Load Combination Factor</t>
        </is>
      </c>
      <c r="C39" s="18" t="n">
        <v>2</v>
      </c>
      <c r="D39" t="inlineStr">
        <is>
          <t>ULCFAC</t>
        </is>
      </c>
    </row>
    <row r="40">
      <c r="B40" t="inlineStr">
        <is>
          <t>Modify Member Strut Angle</t>
        </is>
      </c>
      <c r="C40" s="18" t="n">
        <v>2</v>
      </c>
      <c r="D40" t="inlineStr">
        <is>
          <t>MMSA</t>
        </is>
      </c>
    </row>
    <row r="41">
      <c r="B41" t="inlineStr">
        <is>
          <t>Moment Calculation Method for Beam</t>
        </is>
      </c>
      <c r="C41" s="18" t="n">
        <v>2</v>
      </c>
      <c r="D41" t="inlineStr">
        <is>
          <t>MCMB</t>
        </is>
      </c>
    </row>
    <row r="42">
      <c r="B42" t="inlineStr">
        <is>
          <t>Design Force for Beam Assigned as Member</t>
        </is>
      </c>
      <c r="C42" s="18" t="n">
        <v>2</v>
      </c>
      <c r="D42" t="inlineStr">
        <is>
          <t>DFAM</t>
        </is>
      </c>
    </row>
    <row r="43">
      <c r="B43" t="inlineStr">
        <is>
          <t>P-M Curve Calculation Method</t>
        </is>
      </c>
      <c r="C43" s="18" t="n">
        <v>2</v>
      </c>
      <c r="D43" t="inlineStr">
        <is>
          <t>PMME</t>
        </is>
      </c>
    </row>
    <row r="44">
      <c r="B44" t="inlineStr">
        <is>
          <t>Seismic Column Type</t>
        </is>
      </c>
      <c r="C44" s="18" t="n">
        <v>2</v>
      </c>
      <c r="D44" t="inlineStr">
        <is>
          <t>SCOT</t>
        </is>
      </c>
    </row>
    <row r="45">
      <c r="B45" t="inlineStr">
        <is>
          <t>Design Criteria for Rebars by Member</t>
        </is>
      </c>
      <c r="C45" s="18" t="n">
        <v>2</v>
      </c>
      <c r="D45" t="inlineStr">
        <is>
          <t>DCRM</t>
        </is>
      </c>
    </row>
    <row r="46">
      <c r="B46" t="inlineStr">
        <is>
          <t>Rebar Exposure Condition</t>
        </is>
      </c>
      <c r="C46" s="18" t="n">
        <v>2</v>
      </c>
      <c r="D46" t="inlineStr">
        <is>
          <t>REXC</t>
        </is>
      </c>
    </row>
    <row r="47">
      <c r="B47" t="inlineStr">
        <is>
          <t>Modify Beam Rebar Data</t>
        </is>
      </c>
      <c r="C47" s="18" t="n">
        <v>2</v>
      </c>
      <c r="D47" t="inlineStr">
        <is>
          <t>REBB</t>
        </is>
      </c>
    </row>
    <row r="48">
      <c r="B48" t="inlineStr">
        <is>
          <t>Modify Column Rebar Data</t>
        </is>
      </c>
      <c r="C48" s="18" t="n">
        <v>2</v>
      </c>
      <c r="D48" t="inlineStr">
        <is>
          <t>REBC</t>
        </is>
      </c>
    </row>
    <row r="49">
      <c r="B49" t="inlineStr">
        <is>
          <t>Modify Brace Rebar Data</t>
        </is>
      </c>
      <c r="C49" s="18" t="n">
        <v>2</v>
      </c>
      <c r="D49" t="inlineStr">
        <is>
          <t>REBR</t>
        </is>
      </c>
    </row>
    <row r="50">
      <c r="B50" t="inlineStr">
        <is>
          <t>Modify Wall Rebar Data</t>
        </is>
      </c>
      <c r="C50" s="18" t="n">
        <v>2</v>
      </c>
      <c r="D50" t="inlineStr">
        <is>
          <t>REBW</t>
        </is>
      </c>
    </row>
    <row r="51">
      <c r="C51" s="18" t="n"/>
    </row>
    <row r="52">
      <c r="C52" s="18" t="n"/>
    </row>
    <row r="53">
      <c r="B53" t="inlineStr">
        <is>
          <t>Displacement Optimal Design</t>
        </is>
      </c>
      <c r="C53" s="18" t="n">
        <v>2</v>
      </c>
      <c r="D53" s="10" t="inlineStr">
        <is>
          <t>DCHECK</t>
        </is>
      </c>
    </row>
    <row r="54">
      <c r="B54" t="inlineStr">
        <is>
          <t>Serviceavility Prarmeters</t>
        </is>
      </c>
      <c r="C54" t="n">
        <v>2</v>
      </c>
      <c r="D54" t="inlineStr">
        <is>
          <t>SPARAM</t>
        </is>
      </c>
    </row>
    <row r="55">
      <c r="B55" s="28" t="inlineStr">
        <is>
          <t>Boundary Element Method by Wall ID</t>
        </is>
      </c>
      <c r="C55" t="n">
        <v>2</v>
      </c>
      <c r="D55" t="inlineStr">
        <is>
          <t>BEMW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zoomScale="100" zoomScaleNormal="100" workbookViewId="0">
      <selection activeCell="B10" sqref="B10"/>
    </sheetView>
  </sheetViews>
  <sheetFormatPr baseColWidth="8" defaultRowHeight="17.25" customHeight="1" outlineLevelRow="0"/>
  <sheetData>
    <row r="1">
      <c r="A1" t="inlineStr">
        <is>
          <t>입력 가능한 값 참조 가이드</t>
        </is>
      </c>
    </row>
    <row r="3">
      <c r="A3" t="inlineStr">
        <is>
          <t>필드</t>
        </is>
      </c>
      <c r="B3" t="inlineStr">
        <is>
          <t>입력 가능한 값</t>
        </is>
      </c>
      <c r="C3" t="inlineStr">
        <is>
          <t>설명</t>
        </is>
      </c>
    </row>
    <row r="4">
      <c r="A4" t="inlineStr">
        <is>
          <t>Plan</t>
        </is>
      </c>
      <c r="B4" t="inlineStr">
        <is>
          <t>(빈 값)</t>
        </is>
      </c>
      <c r="C4" t="inlineStr">
        <is>
          <t>시작 안함</t>
        </is>
      </c>
    </row>
    <row r="5">
      <c r="B5" t="inlineStr">
        <is>
          <t>progress</t>
        </is>
      </c>
      <c r="C5" t="inlineStr">
        <is>
          <t>작업 중</t>
        </is>
      </c>
    </row>
    <row r="6">
      <c r="B6" t="inlineStr">
        <is>
          <t>done</t>
        </is>
      </c>
      <c r="C6" t="inlineStr">
        <is>
          <t>완료</t>
        </is>
      </c>
    </row>
    <row r="7">
      <c r="B7" t="inlineStr">
        <is>
          <t>warning</t>
        </is>
      </c>
      <c r="C7" t="inlineStr">
        <is>
          <t>경고/문제</t>
        </is>
      </c>
    </row>
    <row r="9">
      <c r="A9" t="inlineStr">
        <is>
          <t>Dev</t>
        </is>
      </c>
      <c r="B9" t="inlineStr">
        <is>
          <t>(빈 값)</t>
        </is>
      </c>
      <c r="C9" t="inlineStr">
        <is>
          <t>시작 안함</t>
        </is>
      </c>
    </row>
    <row r="10">
      <c r="B10" t="inlineStr">
        <is>
          <t>progress</t>
        </is>
      </c>
      <c r="C10" t="inlineStr">
        <is>
          <t>작업 중</t>
        </is>
      </c>
    </row>
    <row r="11">
      <c r="B11" t="inlineStr">
        <is>
          <t>done</t>
        </is>
      </c>
      <c r="C11" t="inlineStr">
        <is>
          <t>완료</t>
        </is>
      </c>
    </row>
    <row r="12">
      <c r="B12" t="inlineStr">
        <is>
          <t>warning</t>
        </is>
      </c>
      <c r="C12" t="inlineStr">
        <is>
          <t>경고/문제</t>
        </is>
      </c>
    </row>
    <row r="14">
      <c r="A14" t="inlineStr">
        <is>
          <t>V&amp;V</t>
        </is>
      </c>
      <c r="B14" t="inlineStr">
        <is>
          <t>(빈 값)</t>
        </is>
      </c>
      <c r="C14" t="inlineStr">
        <is>
          <t>시작 안함</t>
        </is>
      </c>
    </row>
    <row r="15">
      <c r="B15" t="inlineStr">
        <is>
          <t>progress</t>
        </is>
      </c>
      <c r="C15" t="inlineStr">
        <is>
          <t>작업 중</t>
        </is>
      </c>
    </row>
    <row r="16">
      <c r="B16" t="inlineStr">
        <is>
          <t>done</t>
        </is>
      </c>
      <c r="C16" t="inlineStr">
        <is>
          <t>완료</t>
        </is>
      </c>
    </row>
    <row r="17">
      <c r="B17" t="inlineStr">
        <is>
          <t>warning</t>
        </is>
      </c>
      <c r="C17" t="inlineStr">
        <is>
          <t>경고/문제</t>
        </is>
      </c>
    </row>
    <row r="19">
      <c r="A19" t="inlineStr">
        <is>
          <t>doc</t>
        </is>
      </c>
      <c r="B19" t="inlineStr">
        <is>
          <t>(빈 값)</t>
        </is>
      </c>
      <c r="C19" t="inlineStr">
        <is>
          <t>시작 안함</t>
        </is>
      </c>
    </row>
    <row r="20">
      <c r="B20" t="inlineStr">
        <is>
          <t>progress</t>
        </is>
      </c>
      <c r="C20" t="inlineStr">
        <is>
          <t>작업 중</t>
        </is>
      </c>
    </row>
    <row r="21">
      <c r="B21" t="inlineStr">
        <is>
          <t>done</t>
        </is>
      </c>
      <c r="C21" t="inlineStr">
        <is>
          <t>완료</t>
        </is>
      </c>
    </row>
    <row r="22">
      <c r="B22" t="inlineStr">
        <is>
          <t>warning</t>
        </is>
      </c>
      <c r="C22" t="inlineStr">
        <is>
          <t>경고/문제</t>
        </is>
      </c>
    </row>
    <row r="24">
      <c r="A24" t="inlineStr">
        <is>
          <t>Deploy</t>
        </is>
      </c>
      <c r="B24" t="inlineStr">
        <is>
          <t>(빈 값)</t>
        </is>
      </c>
      <c r="C24" t="inlineStr">
        <is>
          <t>시작 안함</t>
        </is>
      </c>
    </row>
    <row r="25">
      <c r="B25" t="inlineStr">
        <is>
          <t>progress</t>
        </is>
      </c>
      <c r="C25" t="inlineStr">
        <is>
          <t>작업 중</t>
        </is>
      </c>
    </row>
    <row r="26">
      <c r="B26" t="inlineStr">
        <is>
          <t>done</t>
        </is>
      </c>
      <c r="C26" t="inlineStr">
        <is>
          <t>완료</t>
        </is>
      </c>
    </row>
    <row r="27">
      <c r="B27" t="inlineStr">
        <is>
          <t>warning</t>
        </is>
      </c>
      <c r="C27" t="inlineStr">
        <is>
          <t>경고/문제</t>
        </is>
      </c>
    </row>
    <row r="29">
      <c r="A29" t="inlineStr">
        <is>
          <t>Issue</t>
        </is>
      </c>
      <c r="B29" t="inlineStr">
        <is>
          <t>(빈 값)</t>
        </is>
      </c>
      <c r="C29" t="inlineStr">
        <is>
          <t>시작 안함</t>
        </is>
      </c>
    </row>
    <row r="30">
      <c r="B30" t="inlineStr">
        <is>
          <t>progress</t>
        </is>
      </c>
      <c r="C30" t="inlineStr">
        <is>
          <t>작업 중</t>
        </is>
      </c>
    </row>
    <row r="31">
      <c r="B31" t="inlineStr">
        <is>
          <t>done</t>
        </is>
      </c>
      <c r="C31" t="inlineStr">
        <is>
          <t>완료</t>
        </is>
      </c>
    </row>
    <row r="32">
      <c r="B32" t="inlineStr">
        <is>
          <t>warning</t>
        </is>
      </c>
      <c r="C32" t="inlineStr">
        <is>
          <t>경고/문제</t>
        </is>
      </c>
    </row>
    <row r="34">
      <c r="A34" t="inlineStr">
        <is>
          <t>status</t>
        </is>
      </c>
      <c r="B34" t="inlineStr">
        <is>
          <t>progress</t>
        </is>
      </c>
      <c r="C34" t="inlineStr">
        <is>
          <t>진행 중</t>
        </is>
      </c>
    </row>
    <row r="35">
      <c r="B35" t="inlineStr">
        <is>
          <t>done</t>
        </is>
      </c>
      <c r="C35" t="inlineStr">
        <is>
          <t>완료</t>
        </is>
      </c>
    </row>
    <row r="36">
      <c r="B36" t="inlineStr">
        <is>
          <t>cancel</t>
        </is>
      </c>
      <c r="C36" t="inlineStr">
        <is>
          <t>취소</t>
        </is>
      </c>
    </row>
    <row r="37">
      <c r="B37" t="inlineStr">
        <is>
          <t>working</t>
        </is>
      </c>
      <c r="C37" t="inlineStr">
        <is>
          <t>작업 중</t>
        </is>
      </c>
    </row>
    <row r="38">
      <c r="B38" t="inlineStr">
        <is>
          <t>none</t>
        </is>
      </c>
      <c r="C38" t="inlineStr">
        <is>
          <t>없음</t>
        </is>
      </c>
    </row>
    <row r="40">
      <c r="A40" t="inlineStr">
        <is>
          <t>※ 참고사항</t>
        </is>
      </c>
    </row>
    <row r="41">
      <c r="A41" t="inlineStr">
        <is>
          <t>- 대소문자 구분 없이 입력 가능합니다 (예: Done, done, DONE 모두 동일)</t>
        </is>
      </c>
    </row>
    <row r="42">
      <c r="A42" t="inlineStr">
        <is>
          <t>- status를 "done"으로 설정하면 모든 단계가 자동으로 "done"이 됩니다</t>
        </is>
      </c>
    </row>
    <row r="43">
      <c r="A43" t="inlineStr">
        <is>
          <t>- 개별 단계를 수정하면 status는 자동으로 "progress"로 변경됩니다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6"/>
  <sheetViews>
    <sheetView zoomScale="100" zoomScaleNormal="100" workbookViewId="0">
      <selection activeCell="A82" sqref="A82"/>
    </sheetView>
  </sheetViews>
  <sheetFormatPr baseColWidth="8" defaultRowHeight="17.25" customHeight="1" outlineLevelRow="0"/>
  <cols>
    <col width="35.5546875" customWidth="1" min="1" max="1"/>
  </cols>
  <sheetData>
    <row r="1">
      <c r="A1" s="29" t="inlineStr">
        <is>
          <t>endpoint</t>
        </is>
      </c>
    </row>
    <row r="2">
      <c r="A2" t="inlineStr">
        <is>
          <t>/CONFIG/PROJECT</t>
        </is>
      </c>
      <c r="B2">
        <f>_xlfn.TEXTAFTER(A2,"/",-1)</f>
        <v/>
      </c>
    </row>
    <row r="3">
      <c r="A3" t="inlineStr">
        <is>
          <t>/CONFIG/VER</t>
        </is>
      </c>
      <c r="B3">
        <f>_xlfn.TEXTAFTER(A3,"/",-1)</f>
        <v/>
      </c>
    </row>
    <row r="4">
      <c r="A4" t="inlineStr">
        <is>
          <t>/DB/ACTL</t>
        </is>
      </c>
      <c r="B4">
        <f>_xlfn.TEXTAFTER(A4,"/",-1)</f>
        <v/>
      </c>
    </row>
    <row r="5">
      <c r="A5" t="inlineStr">
        <is>
          <t>/DB/ARPR</t>
        </is>
      </c>
      <c r="B5">
        <f>_xlfn.TEXTAFTER(A5,"/",-1)</f>
        <v/>
      </c>
    </row>
    <row r="6">
      <c r="A6" t="inlineStr">
        <is>
          <t>/DB/BCCT</t>
        </is>
      </c>
      <c r="B6">
        <f>_xlfn.TEXTAFTER(A6,"/",-1)</f>
        <v/>
      </c>
    </row>
    <row r="7">
      <c r="A7" t="inlineStr">
        <is>
          <t>/DB/BMLD</t>
        </is>
      </c>
      <c r="B7">
        <f>_xlfn.TEXTAFTER(A7,"/",-1)</f>
        <v/>
      </c>
    </row>
    <row r="8">
      <c r="A8" t="inlineStr">
        <is>
          <t>/DB/BNGR</t>
        </is>
      </c>
      <c r="B8">
        <f>_xlfn.TEXTAFTER(A8,"/",-1)</f>
        <v/>
      </c>
    </row>
    <row r="9">
      <c r="A9" t="inlineStr">
        <is>
          <t>/DB/BODF</t>
        </is>
      </c>
      <c r="B9">
        <f>_xlfn.TEXTAFTER(A9,"/",-1)</f>
        <v/>
      </c>
    </row>
    <row r="10">
      <c r="A10" t="inlineStr">
        <is>
          <t>/DB/BTMP</t>
        </is>
      </c>
      <c r="B10">
        <f>_xlfn.TEXTAFTER(A10,"/",-1)</f>
        <v/>
      </c>
    </row>
    <row r="11">
      <c r="A11" t="inlineStr">
        <is>
          <t>/DB/BUCK</t>
        </is>
      </c>
      <c r="B11">
        <f>_xlfn.TEXTAFTER(A11,"/",-1)</f>
        <v/>
      </c>
    </row>
    <row r="12">
      <c r="A12" t="inlineStr">
        <is>
          <t>/DB/CAMB</t>
        </is>
      </c>
      <c r="B12">
        <f>_xlfn.TEXTAFTER(A12,"/",-1)</f>
        <v/>
      </c>
    </row>
    <row r="13">
      <c r="A13" t="inlineStr">
        <is>
          <t>/DB/CCFC</t>
        </is>
      </c>
      <c r="B13">
        <f>_xlfn.TEXTAFTER(A13,"/",-1)</f>
        <v/>
      </c>
    </row>
    <row r="14">
      <c r="A14" t="inlineStr">
        <is>
          <t>/DB/CGLP</t>
        </is>
      </c>
      <c r="B14">
        <f>_xlfn.TEXTAFTER(A14,"/",-1)</f>
        <v/>
      </c>
    </row>
    <row r="15">
      <c r="A15" t="inlineStr">
        <is>
          <t>/DB/CJFG</t>
        </is>
      </c>
      <c r="B15">
        <f>_xlfn.TEXTAFTER(A15,"/",-1)</f>
        <v/>
      </c>
    </row>
    <row r="16">
      <c r="A16" t="inlineStr">
        <is>
          <t>/DB/CLDR</t>
        </is>
      </c>
      <c r="B16">
        <f>_xlfn.TEXTAFTER(A16,"/",-1)</f>
        <v/>
      </c>
    </row>
    <row r="17">
      <c r="A17" t="inlineStr">
        <is>
          <t>/DB/CLWP</t>
        </is>
      </c>
      <c r="B17">
        <f>_xlfn.TEXTAFTER(A17,"/",-1)</f>
        <v/>
      </c>
    </row>
    <row r="18">
      <c r="A18" t="inlineStr">
        <is>
          <t>/DB/CMCS</t>
        </is>
      </c>
      <c r="B18">
        <f>_xlfn.TEXTAFTER(A18,"/",-1)</f>
        <v/>
      </c>
    </row>
    <row r="19">
      <c r="A19" t="inlineStr">
        <is>
          <t>/DB/CMFT</t>
        </is>
      </c>
      <c r="B19">
        <f>_xlfn.TEXTAFTER(A19,"/",-1)</f>
        <v/>
      </c>
    </row>
    <row r="20">
      <c r="A20" t="inlineStr">
        <is>
          <t>/DB/CNLD</t>
        </is>
      </c>
      <c r="B20">
        <f>_xlfn.TEXTAFTER(A20,"/",-1)</f>
        <v/>
      </c>
    </row>
    <row r="21">
      <c r="A21" t="inlineStr">
        <is>
          <t>/DB/CONS</t>
        </is>
      </c>
      <c r="B21">
        <f>_xlfn.TEXTAFTER(A21,"/",-1)</f>
        <v/>
      </c>
    </row>
    <row r="22">
      <c r="A22" t="inlineStr">
        <is>
          <t>/DB/CO_F</t>
        </is>
      </c>
      <c r="B22">
        <f>_xlfn.TEXTAFTER(A22,"/",-1)</f>
        <v/>
      </c>
    </row>
    <row r="23">
      <c r="A23" t="inlineStr">
        <is>
          <t>/DB/CO_M</t>
        </is>
      </c>
      <c r="B23">
        <f>_xlfn.TEXTAFTER(A23,"/",-1)</f>
        <v/>
      </c>
    </row>
    <row r="24">
      <c r="A24" t="inlineStr">
        <is>
          <t>/DB/CO_S</t>
        </is>
      </c>
      <c r="B24">
        <f>_xlfn.TEXTAFTER(A24,"/",-1)</f>
        <v/>
      </c>
    </row>
    <row r="25">
      <c r="A25" t="inlineStr">
        <is>
          <t>/DB/CO_T</t>
        </is>
      </c>
      <c r="B25">
        <f>_xlfn.TEXTAFTER(A25,"/",-1)</f>
        <v/>
      </c>
    </row>
    <row r="26">
      <c r="A26" t="inlineStr">
        <is>
          <t>/DB/CRGR</t>
        </is>
      </c>
      <c r="B26">
        <f>_xlfn.TEXTAFTER(A26,"/",-1)</f>
        <v/>
      </c>
    </row>
    <row r="27">
      <c r="A27" t="inlineStr">
        <is>
          <t>/DB/CRPC</t>
        </is>
      </c>
      <c r="B27">
        <f>_xlfn.TEXTAFTER(A27,"/",-1)</f>
        <v/>
      </c>
    </row>
    <row r="28">
      <c r="A28" t="inlineStr">
        <is>
          <t>/DB/CSCS</t>
        </is>
      </c>
      <c r="B28">
        <f>_xlfn.TEXTAFTER(A28,"/",-1)</f>
        <v/>
      </c>
    </row>
    <row r="29">
      <c r="A29" t="inlineStr">
        <is>
          <t>/DB/CUTL</t>
        </is>
      </c>
      <c r="B29">
        <f>_xlfn.TEXTAFTER(A29,"/",-1)</f>
        <v/>
      </c>
    </row>
    <row r="30">
      <c r="A30" t="inlineStr">
        <is>
          <t>/DB/DCON</t>
        </is>
      </c>
      <c r="B30">
        <f>_xlfn.TEXTAFTER(A30,"/",-1)</f>
        <v/>
      </c>
    </row>
    <row r="31">
      <c r="A31" t="inlineStr">
        <is>
          <t>/DB/DCTL</t>
        </is>
      </c>
      <c r="B31">
        <f>_xlfn.TEXTAFTER(A31,"/",-1)</f>
        <v/>
      </c>
    </row>
    <row r="32">
      <c r="A32" t="inlineStr">
        <is>
          <t>/DB/DOEL</t>
        </is>
      </c>
      <c r="B32">
        <f>_xlfn.TEXTAFTER(A32,"/",-1)</f>
        <v/>
      </c>
    </row>
    <row r="33">
      <c r="A33" t="inlineStr">
        <is>
          <t>/DB/DSTL</t>
        </is>
      </c>
      <c r="B33">
        <f>_xlfn.TEXTAFTER(A33,"/",-1)</f>
        <v/>
      </c>
    </row>
    <row r="34">
      <c r="A34" t="inlineStr">
        <is>
          <t>/DB/DYFG</t>
        </is>
      </c>
      <c r="B34">
        <f>_xlfn.TEXTAFTER(A34,"/",-1)</f>
        <v/>
      </c>
    </row>
    <row r="35">
      <c r="A35" t="inlineStr">
        <is>
          <t>/DB/DYLA</t>
        </is>
      </c>
      <c r="B35">
        <f>_xlfn.TEXTAFTER(A35,"/",-1)</f>
        <v/>
      </c>
    </row>
    <row r="36">
      <c r="A36" t="inlineStr">
        <is>
          <t>/DB/DYNF</t>
        </is>
      </c>
      <c r="B36">
        <f>_xlfn.TEXTAFTER(A36,"/",-1)</f>
        <v/>
      </c>
    </row>
    <row r="37">
      <c r="A37" t="inlineStr">
        <is>
          <t>/DB/EARE</t>
        </is>
      </c>
      <c r="B37">
        <f>_xlfn.TEXTAFTER(A37,"/",-1)</f>
        <v/>
      </c>
    </row>
    <row r="38">
      <c r="A38" t="inlineStr">
        <is>
          <t>/DB/EDMP</t>
        </is>
      </c>
      <c r="B38">
        <f>_xlfn.TEXTAFTER(A38,"/",-1)</f>
        <v/>
      </c>
    </row>
    <row r="39">
      <c r="A39" t="inlineStr">
        <is>
          <t>/DB/EFCT</t>
        </is>
      </c>
      <c r="B39">
        <f>_xlfn.TEXTAFTER(A39,"/",-1)</f>
        <v/>
      </c>
    </row>
    <row r="40">
      <c r="A40" t="inlineStr">
        <is>
          <t>/DB/EIGV</t>
        </is>
      </c>
      <c r="B40">
        <f>_xlfn.TEXTAFTER(A40,"/",-1)</f>
        <v/>
      </c>
    </row>
    <row r="41">
      <c r="A41" t="inlineStr">
        <is>
          <t>/DB/ELEM</t>
        </is>
      </c>
      <c r="B41">
        <f>_xlfn.TEXTAFTER(A41,"/",-1)</f>
        <v/>
      </c>
    </row>
    <row r="42">
      <c r="A42" t="inlineStr">
        <is>
          <t>/DB/ELNK</t>
        </is>
      </c>
      <c r="B42">
        <f>_xlfn.TEXTAFTER(A42,"/",-1)</f>
        <v/>
      </c>
    </row>
    <row r="43">
      <c r="A43" t="inlineStr">
        <is>
          <t>/DB/EPMT</t>
        </is>
      </c>
      <c r="B43">
        <f>_xlfn.TEXTAFTER(A43,"/",-1)</f>
        <v/>
      </c>
    </row>
    <row r="44">
      <c r="A44" t="inlineStr">
        <is>
          <t>/DB/EPSE</t>
        </is>
      </c>
      <c r="B44">
        <f>_xlfn.TEXTAFTER(A44,"/",-1)</f>
        <v/>
      </c>
    </row>
    <row r="45">
      <c r="A45" t="inlineStr">
        <is>
          <t>/DB/EQMF</t>
        </is>
      </c>
      <c r="B45">
        <f>_xlfn.TEXTAFTER(A45,"/",-1)</f>
        <v/>
      </c>
    </row>
    <row r="46">
      <c r="A46" t="inlineStr">
        <is>
          <t>/DB/ESSF</t>
        </is>
      </c>
      <c r="B46">
        <f>_xlfn.TEXTAFTER(A46,"/",-1)</f>
        <v/>
      </c>
    </row>
    <row r="47">
      <c r="A47" t="inlineStr">
        <is>
          <t>/DB/ETFC</t>
        </is>
      </c>
      <c r="B47">
        <f>_xlfn.TEXTAFTER(A47,"/",-1)</f>
        <v/>
      </c>
    </row>
    <row r="48">
      <c r="A48" t="inlineStr">
        <is>
          <t>/DB/ETMP</t>
        </is>
      </c>
      <c r="B48">
        <f>_xlfn.TEXTAFTER(A48,"/",-1)</f>
        <v/>
      </c>
    </row>
    <row r="49">
      <c r="A49" t="inlineStr">
        <is>
          <t>/DB/EWSF</t>
        </is>
      </c>
      <c r="B49">
        <f>_xlfn.TEXTAFTER(A49,"/",-1)</f>
        <v/>
      </c>
    </row>
    <row r="50">
      <c r="A50" t="inlineStr">
        <is>
          <t>/DB/EXLD</t>
        </is>
      </c>
      <c r="B50">
        <f>_xlfn.TEXTAFTER(A50,"/",-1)</f>
        <v/>
      </c>
    </row>
    <row r="51">
      <c r="A51" t="inlineStr">
        <is>
          <t>/DB/FBLA</t>
        </is>
      </c>
      <c r="B51">
        <f>_xlfn.TEXTAFTER(A51,"/",-1)</f>
        <v/>
      </c>
    </row>
    <row r="52">
      <c r="A52" t="inlineStr">
        <is>
          <t>/DB/FBLD</t>
        </is>
      </c>
      <c r="B52">
        <f>_xlfn.TEXTAFTER(A52,"/",-1)</f>
        <v/>
      </c>
    </row>
    <row r="53">
      <c r="A53" t="inlineStr">
        <is>
          <t>/DB/FIBR</t>
        </is>
      </c>
      <c r="B53">
        <f>_xlfn.TEXTAFTER(A53,"/",-1)</f>
        <v/>
      </c>
    </row>
    <row r="54">
      <c r="A54" t="inlineStr">
        <is>
          <t>/DB/FIMP</t>
        </is>
      </c>
      <c r="B54">
        <f>_xlfn.TEXTAFTER(A54,"/",-1)</f>
        <v/>
      </c>
    </row>
    <row r="55">
      <c r="A55" t="inlineStr">
        <is>
          <t>/DB/FMLD</t>
        </is>
      </c>
      <c r="B55">
        <f>_xlfn.TEXTAFTER(A55,"/",-1)</f>
        <v/>
      </c>
    </row>
    <row r="56">
      <c r="A56" t="inlineStr">
        <is>
          <t>/DB/FRLS</t>
        </is>
      </c>
      <c r="B56">
        <f>_xlfn.TEXTAFTER(A56,"/",-1)</f>
        <v/>
      </c>
    </row>
    <row r="57">
      <c r="A57" t="inlineStr">
        <is>
          <t>/DB/GALD</t>
        </is>
      </c>
      <c r="B57">
        <f>_xlfn.TEXTAFTER(A57,"/",-1)</f>
        <v/>
      </c>
    </row>
    <row r="58">
      <c r="A58" t="inlineStr">
        <is>
          <t>/DB/GCMB</t>
        </is>
      </c>
      <c r="B58">
        <f>_xlfn.TEXTAFTER(A58,"/",-1)</f>
        <v/>
      </c>
    </row>
    <row r="59">
      <c r="A59" t="inlineStr">
        <is>
          <t>/DB/GRDP</t>
        </is>
      </c>
      <c r="B59">
        <f>_xlfn.TEXTAFTER(A59,"/",-1)</f>
        <v/>
      </c>
    </row>
    <row r="60">
      <c r="A60" t="inlineStr">
        <is>
          <t>/DB/GRUP</t>
        </is>
      </c>
      <c r="B60">
        <f>_xlfn.TEXTAFTER(A60,"/",-1)</f>
        <v/>
      </c>
    </row>
    <row r="61">
      <c r="A61" t="inlineStr">
        <is>
          <t>/DB/GSBG</t>
        </is>
      </c>
      <c r="B61">
        <f>_xlfn.TEXTAFTER(A61,"/",-1)</f>
        <v/>
      </c>
    </row>
    <row r="62">
      <c r="A62" t="inlineStr">
        <is>
          <t>/DB/GSPR</t>
        </is>
      </c>
      <c r="B62">
        <f>_xlfn.TEXTAFTER(A62,"/",-1)</f>
        <v/>
      </c>
    </row>
    <row r="63">
      <c r="A63" t="inlineStr">
        <is>
          <t>/DB/GSTP</t>
        </is>
      </c>
      <c r="B63">
        <f>_xlfn.TEXTAFTER(A63,"/",-1)</f>
        <v/>
      </c>
    </row>
    <row r="64">
      <c r="A64" t="inlineStr">
        <is>
          <t>/DB/GTMP</t>
        </is>
      </c>
      <c r="B64">
        <f>_xlfn.TEXTAFTER(A64,"/",-1)</f>
        <v/>
      </c>
    </row>
    <row r="65">
      <c r="A65" t="inlineStr">
        <is>
          <t>/DB/HAHS</t>
        </is>
      </c>
      <c r="B65">
        <f>_xlfn.TEXTAFTER(A65,"/",-1)</f>
        <v/>
      </c>
    </row>
    <row r="66">
      <c r="A66" t="inlineStr">
        <is>
          <t>/DB/HECB</t>
        </is>
      </c>
      <c r="B66">
        <f>_xlfn.TEXTAFTER(A66,"/",-1)</f>
        <v/>
      </c>
    </row>
    <row r="67">
      <c r="A67" t="inlineStr">
        <is>
          <t>/DB/HHCT</t>
        </is>
      </c>
      <c r="B67">
        <f>_xlfn.TEXTAFTER(A67,"/",-1)</f>
        <v/>
      </c>
    </row>
    <row r="68">
      <c r="A68" t="inlineStr">
        <is>
          <t>/DB/HHND</t>
        </is>
      </c>
      <c r="B68">
        <f>_xlfn.TEXTAFTER(A68,"/",-1)</f>
        <v/>
      </c>
    </row>
    <row r="69">
      <c r="A69" t="inlineStr">
        <is>
          <t>/DB/HPCE</t>
        </is>
      </c>
      <c r="B69">
        <f>_xlfn.TEXTAFTER(A69,"/",-1)</f>
        <v/>
      </c>
    </row>
    <row r="70">
      <c r="A70" t="inlineStr">
        <is>
          <t>/DB/HSFC</t>
        </is>
      </c>
      <c r="B70">
        <f>_xlfn.TEXTAFTER(A70,"/",-1)</f>
        <v/>
      </c>
    </row>
    <row r="71">
      <c r="A71" t="inlineStr">
        <is>
          <t>/DB/HSPT</t>
        </is>
      </c>
      <c r="B71">
        <f>_xlfn.TEXTAFTER(A71,"/",-1)</f>
        <v/>
      </c>
    </row>
    <row r="72">
      <c r="A72" t="inlineStr">
        <is>
          <t>/DB/HSTG</t>
        </is>
      </c>
      <c r="B72">
        <f>_xlfn.TEXTAFTER(A72,"/",-1)</f>
        <v/>
      </c>
    </row>
    <row r="73">
      <c r="A73" t="inlineStr">
        <is>
          <t>/DB/IEHC</t>
        </is>
      </c>
      <c r="B73">
        <f>_xlfn.TEXTAFTER(A73,"/",-1)</f>
        <v/>
      </c>
    </row>
    <row r="74">
      <c r="A74" t="inlineStr">
        <is>
          <t>/DB/IEHG</t>
        </is>
      </c>
      <c r="B74">
        <f>_xlfn.TEXTAFTER(A74,"/",-1)</f>
        <v/>
      </c>
    </row>
    <row r="75">
      <c r="A75" t="inlineStr">
        <is>
          <t>/DB/IEHP</t>
        </is>
      </c>
      <c r="B75">
        <f>_xlfn.TEXTAFTER(A75,"/",-1)</f>
        <v/>
      </c>
    </row>
    <row r="76">
      <c r="A76" t="inlineStr">
        <is>
          <t>/DB/IELC</t>
        </is>
      </c>
      <c r="B76">
        <f>_xlfn.TEXTAFTER(A76,"/",-1)</f>
        <v/>
      </c>
    </row>
    <row r="77">
      <c r="A77" t="inlineStr">
        <is>
          <t>/DB/IEPI</t>
        </is>
      </c>
      <c r="B77">
        <f>_xlfn.TEXTAFTER(A77,"/",-1)</f>
        <v/>
      </c>
    </row>
    <row r="78">
      <c r="A78" t="inlineStr">
        <is>
          <t>/DB/IFGS</t>
        </is>
      </c>
      <c r="B78">
        <f>_xlfn.TEXTAFTER(A78,"/",-1)</f>
        <v/>
      </c>
    </row>
    <row r="79">
      <c r="A79" t="inlineStr">
        <is>
          <t>/DB/IMFM</t>
        </is>
      </c>
      <c r="B79">
        <f>_xlfn.TEXTAFTER(A79,"/",-1)</f>
        <v/>
      </c>
    </row>
    <row r="80">
      <c r="A80" t="inlineStr">
        <is>
          <t>/DB/IMPF</t>
        </is>
      </c>
      <c r="B80">
        <f>_xlfn.TEXTAFTER(A80,"/",-1)</f>
        <v/>
      </c>
    </row>
    <row r="81">
      <c r="A81" t="inlineStr">
        <is>
          <t>/DB/INMF</t>
        </is>
      </c>
      <c r="B81">
        <f>_xlfn.TEXTAFTER(A81,"/",-1)</f>
        <v/>
      </c>
    </row>
    <row r="82">
      <c r="A82" t="inlineStr">
        <is>
          <t>/DB/KFAC</t>
        </is>
      </c>
      <c r="B82">
        <f>_xlfn.TEXTAFTER(A82,"/",-1)</f>
        <v/>
      </c>
    </row>
    <row r="83">
      <c r="A83" t="inlineStr">
        <is>
          <t>/DB/LCOM-ALUM</t>
        </is>
      </c>
      <c r="B83">
        <f>_xlfn.TEXTAFTER(A83,"/",-1)</f>
        <v/>
      </c>
    </row>
    <row r="84">
      <c r="A84" t="inlineStr">
        <is>
          <t>/DB/LCOM-CFSTEEL</t>
        </is>
      </c>
      <c r="B84">
        <f>_xlfn.TEXTAFTER(A84,"/",-1)</f>
        <v/>
      </c>
    </row>
    <row r="85">
      <c r="A85" t="inlineStr">
        <is>
          <t>/DB/LCOM-CONC</t>
        </is>
      </c>
      <c r="B85">
        <f>_xlfn.TEXTAFTER(A85,"/",-1)</f>
        <v/>
      </c>
    </row>
    <row r="86">
      <c r="A86" t="inlineStr">
        <is>
          <t>/DB/LCOM-FDN</t>
        </is>
      </c>
      <c r="B86">
        <f>_xlfn.TEXTAFTER(A86,"/",-1)</f>
        <v/>
      </c>
    </row>
    <row r="87">
      <c r="A87" t="inlineStr">
        <is>
          <t>/DB/LCOM-GEN</t>
        </is>
      </c>
      <c r="B87">
        <f>_xlfn.TEXTAFTER(A87,"/",-1)</f>
        <v/>
      </c>
    </row>
    <row r="88">
      <c r="A88" t="inlineStr">
        <is>
          <t>/DB/LCOM-LINEAR</t>
        </is>
      </c>
      <c r="B88">
        <f>_xlfn.TEXTAFTER(A88,"/",-1)</f>
        <v/>
      </c>
    </row>
    <row r="89">
      <c r="A89" t="inlineStr">
        <is>
          <t>/DB/LCOM-SEISMIC</t>
        </is>
      </c>
      <c r="B89">
        <f>_xlfn.TEXTAFTER(A89,"/",-1)</f>
        <v/>
      </c>
    </row>
    <row r="90">
      <c r="A90" t="inlineStr">
        <is>
          <t>/DB/LCOM-SRC</t>
        </is>
      </c>
      <c r="B90">
        <f>_xlfn.TEXTAFTER(A90,"/",-1)</f>
        <v/>
      </c>
    </row>
    <row r="91">
      <c r="A91" t="inlineStr">
        <is>
          <t>/DB/LCOM-STEEL</t>
        </is>
      </c>
      <c r="B91">
        <f>_xlfn.TEXTAFTER(A91,"/",-1)</f>
        <v/>
      </c>
    </row>
    <row r="92">
      <c r="A92" t="inlineStr">
        <is>
          <t>/DB/LCOM-STLCOMP</t>
        </is>
      </c>
      <c r="B92">
        <f>_xlfn.TEXTAFTER(A92,"/",-1)</f>
        <v/>
      </c>
    </row>
    <row r="93">
      <c r="A93" t="inlineStr">
        <is>
          <t>/DB/LDGR</t>
        </is>
      </c>
      <c r="B93">
        <f>_xlfn.TEXTAFTER(A93,"/",-1)</f>
        <v/>
      </c>
    </row>
    <row r="94">
      <c r="A94" t="inlineStr">
        <is>
          <t>/DB/LDSQ</t>
        </is>
      </c>
      <c r="B94">
        <f>_xlfn.TEXTAFTER(A94,"/",-1)</f>
        <v/>
      </c>
    </row>
    <row r="95">
      <c r="A95" t="inlineStr">
        <is>
          <t>/DB/LENG</t>
        </is>
      </c>
      <c r="B95">
        <f>_xlfn.TEXTAFTER(A95,"/",-1)</f>
        <v/>
      </c>
    </row>
    <row r="96">
      <c r="A96" t="inlineStr">
        <is>
          <t>/DB/LLAN</t>
        </is>
      </c>
      <c r="B96">
        <f>_xlfn.TEXTAFTER(A96,"/",-1)</f>
        <v/>
      </c>
    </row>
    <row r="97">
      <c r="A97" t="inlineStr">
        <is>
          <t>/DB/LLANCH</t>
        </is>
      </c>
      <c r="B97">
        <f>_xlfn.TEXTAFTER(A97,"/",-1)</f>
        <v/>
      </c>
    </row>
    <row r="98">
      <c r="A98" t="inlineStr">
        <is>
          <t>/DB/LLANID</t>
        </is>
      </c>
      <c r="B98">
        <f>_xlfn.TEXTAFTER(A98,"/",-1)</f>
        <v/>
      </c>
    </row>
    <row r="99">
      <c r="A99" t="inlineStr">
        <is>
          <t>/DB/LLANJP</t>
        </is>
      </c>
      <c r="B99">
        <f>_xlfn.TEXTAFTER(A99,"/",-1)</f>
        <v/>
      </c>
    </row>
    <row r="100">
      <c r="A100" t="inlineStr">
        <is>
          <t>/DB/LLANOP</t>
        </is>
      </c>
      <c r="B100">
        <f>_xlfn.TEXTAFTER(A100,"/",-1)</f>
        <v/>
      </c>
    </row>
    <row r="101">
      <c r="A101" t="inlineStr">
        <is>
          <t>/DB/LLANTR</t>
        </is>
      </c>
      <c r="B101">
        <f>_xlfn.TEXTAFTER(A101,"/",-1)</f>
        <v/>
      </c>
    </row>
    <row r="102">
      <c r="A102" t="inlineStr">
        <is>
          <t>/DB/LTOM</t>
        </is>
      </c>
      <c r="B102">
        <f>_xlfn.TEXTAFTER(A102,"/",-1)</f>
        <v/>
      </c>
    </row>
    <row r="103">
      <c r="A103" t="inlineStr">
        <is>
          <t>/DB/LTSR</t>
        </is>
      </c>
      <c r="B103">
        <f>_xlfn.TEXTAFTER(A103,"/",-1)</f>
        <v/>
      </c>
    </row>
    <row r="104">
      <c r="A104" t="inlineStr">
        <is>
          <t>/DB/MADO</t>
        </is>
      </c>
      <c r="B104">
        <f>_xlfn.TEXTAFTER(A104,"/",-1)</f>
        <v/>
      </c>
    </row>
    <row r="105">
      <c r="A105" t="inlineStr">
        <is>
          <t>/DB/MATD</t>
        </is>
      </c>
      <c r="B105">
        <f>_xlfn.TEXTAFTER(A105,"/",-1)</f>
        <v/>
      </c>
    </row>
    <row r="106">
      <c r="A106" t="inlineStr">
        <is>
          <t>/DB/MATL</t>
        </is>
      </c>
      <c r="B106">
        <f>_xlfn.TEXTAFTER(A106,"/",-1)</f>
        <v/>
      </c>
    </row>
    <row r="107">
      <c r="A107" t="inlineStr">
        <is>
          <t>/DB/MBTP</t>
        </is>
      </c>
      <c r="B107">
        <f>_xlfn.TEXTAFTER(A107,"/",-1)</f>
        <v/>
      </c>
    </row>
    <row r="108">
      <c r="A108" t="inlineStr">
        <is>
          <t>/DB/MCON</t>
        </is>
      </c>
      <c r="B108">
        <f>_xlfn.TEXTAFTER(A108,"/",-1)</f>
        <v/>
      </c>
    </row>
    <row r="109">
      <c r="A109" t="inlineStr">
        <is>
          <t>/DB/MDGN</t>
        </is>
      </c>
      <c r="B109">
        <f>_xlfn.TEXTAFTER(A109,"/",-1)</f>
        <v/>
      </c>
    </row>
    <row r="110">
      <c r="A110" t="inlineStr">
        <is>
          <t>/DB/MEMB</t>
        </is>
      </c>
      <c r="B110">
        <f>_xlfn.TEXTAFTER(A110,"/",-1)</f>
        <v/>
      </c>
    </row>
    <row r="111">
      <c r="A111" t="inlineStr">
        <is>
          <t>/DB/MLFC</t>
        </is>
      </c>
      <c r="B111">
        <f>_xlfn.TEXTAFTER(A111,"/",-1)</f>
        <v/>
      </c>
    </row>
    <row r="112">
      <c r="A112" t="inlineStr">
        <is>
          <t>/DB/MLSP</t>
        </is>
      </c>
      <c r="B112">
        <f>_xlfn.TEXTAFTER(A112,"/",-1)</f>
        <v/>
      </c>
    </row>
    <row r="113">
      <c r="A113" t="inlineStr">
        <is>
          <t>/DB/MLSR</t>
        </is>
      </c>
      <c r="B113">
        <f>_xlfn.TEXTAFTER(A113,"/",-1)</f>
        <v/>
      </c>
    </row>
    <row r="114">
      <c r="A114" t="inlineStr">
        <is>
          <t>/DB/MRFT</t>
        </is>
      </c>
      <c r="B114">
        <f>_xlfn.TEXTAFTER(A114,"/",-1)</f>
        <v/>
      </c>
    </row>
    <row r="115">
      <c r="A115" t="inlineStr">
        <is>
          <t>/DB/MTCS</t>
        </is>
      </c>
      <c r="B115">
        <f>_xlfn.TEXTAFTER(A115,"/",-1)</f>
        <v/>
      </c>
    </row>
    <row r="116">
      <c r="A116" t="inlineStr">
        <is>
          <t>/DB/MVCD</t>
        </is>
      </c>
      <c r="B116">
        <f>_xlfn.TEXTAFTER(A116,"/",-1)</f>
        <v/>
      </c>
    </row>
    <row r="117">
      <c r="A117" t="inlineStr">
        <is>
          <t>/DB/MVCT</t>
        </is>
      </c>
      <c r="B117">
        <f>_xlfn.TEXTAFTER(A117,"/",-1)</f>
        <v/>
      </c>
    </row>
    <row r="118">
      <c r="A118" t="inlineStr">
        <is>
          <t>/DB/MVCTBS</t>
        </is>
      </c>
      <c r="B118">
        <f>_xlfn.TEXTAFTER(A118,"/",-1)</f>
        <v/>
      </c>
    </row>
    <row r="119">
      <c r="A119" t="inlineStr">
        <is>
          <t>/DB/MVCTCH</t>
        </is>
      </c>
      <c r="B119">
        <f>_xlfn.TEXTAFTER(A119,"/",-1)</f>
        <v/>
      </c>
    </row>
    <row r="120">
      <c r="A120" t="inlineStr">
        <is>
          <t>/DB/MVCTID</t>
        </is>
      </c>
      <c r="B120">
        <f>_xlfn.TEXTAFTER(A120,"/",-1)</f>
        <v/>
      </c>
    </row>
    <row r="121">
      <c r="A121" t="inlineStr">
        <is>
          <t>/DB/MVCTTR</t>
        </is>
      </c>
      <c r="B121">
        <f>_xlfn.TEXTAFTER(A121,"/",-1)</f>
        <v/>
      </c>
    </row>
    <row r="122">
      <c r="A122" t="inlineStr">
        <is>
          <t>/DB/MVHC</t>
        </is>
      </c>
      <c r="B122">
        <f>_xlfn.TEXTAFTER(A122,"/",-1)</f>
        <v/>
      </c>
    </row>
    <row r="123">
      <c r="A123" t="inlineStr">
        <is>
          <t>/DB/MVHL</t>
        </is>
      </c>
      <c r="B123">
        <f>_xlfn.TEXTAFTER(A123,"/",-1)</f>
        <v/>
      </c>
    </row>
    <row r="124">
      <c r="A124" t="inlineStr">
        <is>
          <t>/DB/MVHLTR</t>
        </is>
      </c>
      <c r="B124">
        <f>_xlfn.TEXTAFTER(A124,"/",-1)</f>
        <v/>
      </c>
    </row>
    <row r="125">
      <c r="A125" t="inlineStr">
        <is>
          <t>/DB/MVLD</t>
        </is>
      </c>
      <c r="B125">
        <f>_xlfn.TEXTAFTER(A125,"/",-1)</f>
        <v/>
      </c>
    </row>
    <row r="126">
      <c r="A126" t="inlineStr">
        <is>
          <t>/DB/MVLDBS</t>
        </is>
      </c>
      <c r="B126">
        <f>_xlfn.TEXTAFTER(A126,"/",-1)</f>
        <v/>
      </c>
    </row>
    <row r="127">
      <c r="A127" t="inlineStr">
        <is>
          <t>/DB/MVLDCH</t>
        </is>
      </c>
      <c r="B127">
        <f>_xlfn.TEXTAFTER(A127,"/",-1)</f>
        <v/>
      </c>
    </row>
    <row r="128">
      <c r="A128" t="inlineStr">
        <is>
          <t>/DB/MVLDEU</t>
        </is>
      </c>
      <c r="B128">
        <f>_xlfn.TEXTAFTER(A128,"/",-1)</f>
        <v/>
      </c>
    </row>
    <row r="129">
      <c r="A129" t="inlineStr">
        <is>
          <t>/DB/MVLDID</t>
        </is>
      </c>
      <c r="B129">
        <f>_xlfn.TEXTAFTER(A129,"/",-1)</f>
        <v/>
      </c>
    </row>
    <row r="130">
      <c r="A130" t="inlineStr">
        <is>
          <t>/DB/MVLDJP</t>
        </is>
      </c>
      <c r="B130">
        <f>_xlfn.TEXTAFTER(A130,"/",-1)</f>
        <v/>
      </c>
    </row>
    <row r="131">
      <c r="A131" t="inlineStr">
        <is>
          <t>/DB/MVLDPL</t>
        </is>
      </c>
      <c r="B131">
        <f>_xlfn.TEXTAFTER(A131,"/",-1)</f>
        <v/>
      </c>
    </row>
    <row r="132">
      <c r="A132" t="inlineStr">
        <is>
          <t>/DB/MVLDTR</t>
        </is>
      </c>
      <c r="B132">
        <f>_xlfn.TEXTAFTER(A132,"/",-1)</f>
        <v/>
      </c>
    </row>
    <row r="133">
      <c r="A133" t="inlineStr">
        <is>
          <t>/DB/NBOF</t>
        </is>
      </c>
      <c r="B133">
        <f>_xlfn.TEXTAFTER(A133,"/",-1)</f>
        <v/>
      </c>
    </row>
    <row r="134">
      <c r="A134" t="inlineStr">
        <is>
          <t>/DB/NLCT</t>
        </is>
      </c>
      <c r="B134">
        <f>_xlfn.TEXTAFTER(A134,"/",-1)</f>
        <v/>
      </c>
    </row>
    <row r="135">
      <c r="A135" t="inlineStr">
        <is>
          <t>/DB/NLLP</t>
        </is>
      </c>
      <c r="B135">
        <f>_xlfn.TEXTAFTER(A135,"/",-1)</f>
        <v/>
      </c>
    </row>
    <row r="136">
      <c r="A136" t="inlineStr">
        <is>
          <t>/DB/NLNK</t>
        </is>
      </c>
      <c r="B136">
        <f>_xlfn.TEXTAFTER(A136,"/",-1)</f>
        <v/>
      </c>
    </row>
    <row r="137">
      <c r="A137" t="inlineStr">
        <is>
          <t>/DB/NMAS</t>
        </is>
      </c>
      <c r="B137">
        <f>_xlfn.TEXTAFTER(A137,"/",-1)</f>
        <v/>
      </c>
    </row>
    <row r="138">
      <c r="A138" t="inlineStr">
        <is>
          <t>/DB/NODE</t>
        </is>
      </c>
      <c r="B138">
        <f>_xlfn.TEXTAFTER(A138,"/",-1)</f>
        <v/>
      </c>
    </row>
    <row r="139">
      <c r="A139" t="inlineStr">
        <is>
          <t>/DB/NPLN</t>
        </is>
      </c>
      <c r="B139">
        <f>_xlfn.TEXTAFTER(A139,"/",-1)</f>
        <v/>
      </c>
    </row>
    <row r="140">
      <c r="A140" t="inlineStr">
        <is>
          <t>/DB/NSPR</t>
        </is>
      </c>
      <c r="B140">
        <f>_xlfn.TEXTAFTER(A140,"/",-1)</f>
        <v/>
      </c>
    </row>
    <row r="141">
      <c r="A141" t="inlineStr">
        <is>
          <t>/DB/NTMP</t>
        </is>
      </c>
      <c r="B141">
        <f>_xlfn.TEXTAFTER(A141,"/",-1)</f>
        <v/>
      </c>
    </row>
    <row r="142">
      <c r="A142" t="inlineStr">
        <is>
          <t>/DB/NUCS</t>
        </is>
      </c>
      <c r="B142">
        <f>_xlfn.TEXTAFTER(A142,"/",-1)</f>
        <v/>
      </c>
    </row>
    <row r="143">
      <c r="A143" t="inlineStr">
        <is>
          <t>/DB/OFFS</t>
        </is>
      </c>
      <c r="B143">
        <f>_xlfn.TEXTAFTER(A143,"/",-1)</f>
        <v/>
      </c>
    </row>
    <row r="144">
      <c r="A144" t="inlineStr">
        <is>
          <t>/DB/PDEL</t>
        </is>
      </c>
      <c r="B144">
        <f>_xlfn.TEXTAFTER(A144,"/",-1)</f>
        <v/>
      </c>
    </row>
    <row r="145">
      <c r="A145" t="inlineStr">
        <is>
          <t>/DB/PHGE</t>
        </is>
      </c>
      <c r="B145">
        <f>_xlfn.TEXTAFTER(A145,"/",-1)</f>
        <v/>
      </c>
    </row>
    <row r="146">
      <c r="A146" t="inlineStr">
        <is>
          <t>/DB/PHGT</t>
        </is>
      </c>
      <c r="B146">
        <f>_xlfn.TEXTAFTER(A146,"/",-1)</f>
        <v/>
      </c>
    </row>
    <row r="147">
      <c r="A147" t="inlineStr">
        <is>
          <t>/DB/PJCF</t>
        </is>
      </c>
      <c r="B147">
        <f>_xlfn.TEXTAFTER(A147,"/",-1)</f>
        <v/>
      </c>
    </row>
    <row r="148">
      <c r="A148" t="inlineStr">
        <is>
          <t>/DB/PLCB</t>
        </is>
      </c>
      <c r="B148">
        <f>_xlfn.TEXTAFTER(A148,"/",-1)</f>
        <v/>
      </c>
    </row>
    <row r="149">
      <c r="A149" t="inlineStr">
        <is>
          <t>/DB/PNLA</t>
        </is>
      </c>
      <c r="B149">
        <f>_xlfn.TEXTAFTER(A149,"/",-1)</f>
        <v/>
      </c>
    </row>
    <row r="150">
      <c r="A150" t="inlineStr">
        <is>
          <t>/DB/PNLD</t>
        </is>
      </c>
      <c r="B150">
        <f>_xlfn.TEXTAFTER(A150,"/",-1)</f>
        <v/>
      </c>
    </row>
    <row r="151">
      <c r="A151" t="inlineStr">
        <is>
          <t>/DB/POGD</t>
        </is>
      </c>
      <c r="B151">
        <f>_xlfn.TEXTAFTER(A151,"/",-1)</f>
        <v/>
      </c>
    </row>
    <row r="152">
      <c r="A152" t="inlineStr">
        <is>
          <t>/DB/POLC</t>
        </is>
      </c>
      <c r="B152">
        <f>_xlfn.TEXTAFTER(A152,"/",-1)</f>
        <v/>
      </c>
    </row>
    <row r="153">
      <c r="A153" t="inlineStr">
        <is>
          <t>/DB/POSL</t>
        </is>
      </c>
      <c r="B153">
        <f>_xlfn.TEXTAFTER(A153,"/",-1)</f>
        <v/>
      </c>
    </row>
    <row r="154">
      <c r="A154" t="inlineStr">
        <is>
          <t>/DB/PRES</t>
        </is>
      </c>
      <c r="B154">
        <f>_xlfn.TEXTAFTER(A154,"/",-1)</f>
        <v/>
      </c>
    </row>
    <row r="155">
      <c r="A155" t="inlineStr">
        <is>
          <t>/DB/PRLS</t>
        </is>
      </c>
      <c r="B155">
        <f>_xlfn.TEXTAFTER(A155,"/",-1)</f>
        <v/>
      </c>
    </row>
    <row r="156">
      <c r="A156" t="inlineStr">
        <is>
          <t>/DB/PRST</t>
        </is>
      </c>
      <c r="B156">
        <f>_xlfn.TEXTAFTER(A156,"/",-1)</f>
        <v/>
      </c>
    </row>
    <row r="157">
      <c r="A157" t="inlineStr">
        <is>
          <t>/DB/PSLT</t>
        </is>
      </c>
      <c r="B157">
        <f>_xlfn.TEXTAFTER(A157,"/",-1)</f>
        <v/>
      </c>
    </row>
    <row r="158">
      <c r="A158" t="inlineStr">
        <is>
          <t>/DB/PSSF</t>
        </is>
      </c>
      <c r="B158">
        <f>_xlfn.TEXTAFTER(A158,"/",-1)</f>
        <v/>
      </c>
    </row>
    <row r="159">
      <c r="A159" t="inlineStr">
        <is>
          <t>/DB/PTNS</t>
        </is>
      </c>
      <c r="B159">
        <f>_xlfn.TEXTAFTER(A159,"/",-1)</f>
        <v/>
      </c>
    </row>
    <row r="160">
      <c r="A160" t="inlineStr">
        <is>
          <t>/DB/PZEF</t>
        </is>
      </c>
      <c r="B160">
        <f>_xlfn.TEXTAFTER(A160,"/",-1)</f>
        <v/>
      </c>
    </row>
    <row r="161">
      <c r="A161" t="inlineStr">
        <is>
          <t>/DB/RCHK</t>
        </is>
      </c>
      <c r="B161">
        <f>_xlfn.TEXTAFTER(A161,"/",-1)</f>
        <v/>
      </c>
    </row>
    <row r="162">
      <c r="A162" t="inlineStr">
        <is>
          <t>/DB/RIGD</t>
        </is>
      </c>
      <c r="B162">
        <f>_xlfn.TEXTAFTER(A162,"/",-1)</f>
        <v/>
      </c>
    </row>
    <row r="163">
      <c r="A163" t="inlineStr">
        <is>
          <t>/DB/RPSC</t>
        </is>
      </c>
      <c r="B163">
        <f>_xlfn.TEXTAFTER(A163,"/",-1)</f>
        <v/>
      </c>
    </row>
    <row r="164">
      <c r="A164" t="inlineStr">
        <is>
          <t>/DB/SBCT</t>
        </is>
      </c>
      <c r="B164">
        <f>_xlfn.TEXTAFTER(A164,"/",-1)</f>
        <v/>
      </c>
    </row>
    <row r="165">
      <c r="A165" t="inlineStr">
        <is>
          <t>/DB/SBDO</t>
        </is>
      </c>
      <c r="B165">
        <f>_xlfn.TEXTAFTER(A165,"/",-1)</f>
        <v/>
      </c>
    </row>
    <row r="166">
      <c r="A166" t="inlineStr">
        <is>
          <t>/DB/SDSP</t>
        </is>
      </c>
      <c r="B166">
        <f>_xlfn.TEXTAFTER(A166,"/",-1)</f>
        <v/>
      </c>
    </row>
    <row r="167">
      <c r="A167" t="inlineStr">
        <is>
          <t>/DB/SDST</t>
        </is>
      </c>
      <c r="B167">
        <f>_xlfn.TEXTAFTER(A167,"/",-1)</f>
        <v/>
      </c>
    </row>
    <row r="168">
      <c r="A168" t="inlineStr">
        <is>
          <t>/DB/SDVE</t>
        </is>
      </c>
      <c r="B168">
        <f>_xlfn.TEXTAFTER(A168,"/",-1)</f>
        <v/>
      </c>
    </row>
    <row r="169">
      <c r="A169" t="inlineStr">
        <is>
          <t>/DB/SDVI</t>
        </is>
      </c>
      <c r="B169">
        <f>_xlfn.TEXTAFTER(A169,"/",-1)</f>
        <v/>
      </c>
    </row>
    <row r="170">
      <c r="A170" t="inlineStr">
        <is>
          <t>/DB/SECF</t>
        </is>
      </c>
      <c r="B170">
        <f>_xlfn.TEXTAFTER(A170,"/",-1)</f>
        <v/>
      </c>
    </row>
    <row r="171">
      <c r="A171" t="inlineStr">
        <is>
          <t>/DB/SECP</t>
        </is>
      </c>
      <c r="B171">
        <f>_xlfn.TEXTAFTER(A171,"/",-1)</f>
        <v/>
      </c>
    </row>
    <row r="172">
      <c r="A172" t="inlineStr">
        <is>
          <t>/DB/SECT</t>
        </is>
      </c>
      <c r="B172">
        <f>_xlfn.TEXTAFTER(A172,"/",-1)</f>
        <v/>
      </c>
    </row>
    <row r="173">
      <c r="A173" t="inlineStr">
        <is>
          <t>/DB/SECV</t>
        </is>
      </c>
      <c r="B173">
        <f>_xlfn.TEXTAFTER(A173,"/",-1)</f>
        <v/>
      </c>
    </row>
    <row r="174">
      <c r="A174" t="inlineStr">
        <is>
          <t>/DB/SGLD</t>
        </is>
      </c>
      <c r="B174">
        <f>_xlfn.TEXTAFTER(A174,"/",-1)</f>
        <v/>
      </c>
    </row>
    <row r="175">
      <c r="A175" t="inlineStr">
        <is>
          <t>/DB/SINF</t>
        </is>
      </c>
      <c r="B175">
        <f>_xlfn.TEXTAFTER(A175,"/",-1)</f>
        <v/>
      </c>
    </row>
    <row r="176">
      <c r="A176" t="inlineStr">
        <is>
          <t>/DB/SKEW</t>
        </is>
      </c>
      <c r="B176">
        <f>_xlfn.TEXTAFTER(A176,"/",-1)</f>
        <v/>
      </c>
    </row>
    <row r="177">
      <c r="A177" t="inlineStr">
        <is>
          <t>/DB/SLAN</t>
        </is>
      </c>
      <c r="B177">
        <f>_xlfn.TEXTAFTER(A177,"/",-1)</f>
        <v/>
      </c>
    </row>
    <row r="178">
      <c r="A178" t="inlineStr">
        <is>
          <t>/DB/SLANCH</t>
        </is>
      </c>
      <c r="B178">
        <f>_xlfn.TEXTAFTER(A178,"/",-1)</f>
        <v/>
      </c>
    </row>
    <row r="179">
      <c r="A179" t="inlineStr">
        <is>
          <t>/DB/SLANOP</t>
        </is>
      </c>
      <c r="B179">
        <f>_xlfn.TEXTAFTER(A179,"/",-1)</f>
        <v/>
      </c>
    </row>
    <row r="180">
      <c r="A180" t="inlineStr">
        <is>
          <t>/DB/SMCT</t>
        </is>
      </c>
      <c r="B180">
        <f>_xlfn.TEXTAFTER(A180,"/",-1)</f>
        <v/>
      </c>
    </row>
    <row r="181">
      <c r="A181" t="inlineStr">
        <is>
          <t>/DB/SMLC</t>
        </is>
      </c>
      <c r="B181">
        <f>_xlfn.TEXTAFTER(A181,"/",-1)</f>
        <v/>
      </c>
    </row>
    <row r="182">
      <c r="A182" t="inlineStr">
        <is>
          <t>/DB/SMPT</t>
        </is>
      </c>
      <c r="B182">
        <f>_xlfn.TEXTAFTER(A182,"/",-1)</f>
        <v/>
      </c>
    </row>
    <row r="183">
      <c r="A183" t="inlineStr">
        <is>
          <t>/DB/SPAN</t>
        </is>
      </c>
      <c r="B183">
        <f>_xlfn.TEXTAFTER(A183,"/",-1)</f>
        <v/>
      </c>
    </row>
    <row r="184">
      <c r="A184" t="inlineStr">
        <is>
          <t>/DB/SPFC</t>
        </is>
      </c>
      <c r="B184">
        <f>_xlfn.TEXTAFTER(A184,"/",-1)</f>
        <v/>
      </c>
    </row>
    <row r="185">
      <c r="A185" t="inlineStr">
        <is>
          <t>/DB/SPLC</t>
        </is>
      </c>
      <c r="B185">
        <f>_xlfn.TEXTAFTER(A185,"/",-1)</f>
        <v/>
      </c>
    </row>
    <row r="186">
      <c r="A186" t="inlineStr">
        <is>
          <t>/DB/SSPS</t>
        </is>
      </c>
      <c r="B186">
        <f>_xlfn.TEXTAFTER(A186,"/",-1)</f>
        <v/>
      </c>
    </row>
    <row r="187">
      <c r="A187" t="inlineStr">
        <is>
          <t>/DB/STAG</t>
        </is>
      </c>
      <c r="B187">
        <f>_xlfn.TEXTAFTER(A187,"/",-1)</f>
        <v/>
      </c>
    </row>
    <row r="188">
      <c r="A188" t="inlineStr">
        <is>
          <t>/DB/STBK</t>
        </is>
      </c>
      <c r="B188">
        <f>_xlfn.TEXTAFTER(A188,"/",-1)</f>
        <v/>
      </c>
    </row>
    <row r="189">
      <c r="A189" t="inlineStr">
        <is>
          <t>/DB/STCT</t>
        </is>
      </c>
      <c r="B189">
        <f>_xlfn.TEXTAFTER(A189,"/",-1)</f>
        <v/>
      </c>
    </row>
    <row r="190">
      <c r="A190" t="inlineStr">
        <is>
          <t>/DB/STLD</t>
        </is>
      </c>
      <c r="B190">
        <f>_xlfn.TEXTAFTER(A190,"/",-1)</f>
        <v/>
      </c>
    </row>
    <row r="191">
      <c r="A191" t="inlineStr">
        <is>
          <t>/DB/STMP</t>
        </is>
      </c>
      <c r="B191">
        <f>_xlfn.TEXTAFTER(A191,"/",-1)</f>
        <v/>
      </c>
    </row>
    <row r="192">
      <c r="A192" t="inlineStr">
        <is>
          <t>/DB/STRPSSM</t>
        </is>
      </c>
      <c r="B192">
        <f>_xlfn.TEXTAFTER(A192,"/",-1)</f>
        <v/>
      </c>
    </row>
    <row r="193">
      <c r="A193" t="inlineStr">
        <is>
          <t>/DB/STYP</t>
        </is>
      </c>
      <c r="B193">
        <f>_xlfn.TEXTAFTER(A193,"/",-1)</f>
        <v/>
      </c>
    </row>
    <row r="194">
      <c r="A194" t="inlineStr">
        <is>
          <t>/DB/TDCS</t>
        </is>
      </c>
      <c r="B194">
        <f>_xlfn.TEXTAFTER(A194,"/",-1)</f>
        <v/>
      </c>
    </row>
    <row r="195">
      <c r="A195" t="inlineStr">
        <is>
          <t>/DB/TDGR</t>
        </is>
      </c>
      <c r="B195">
        <f>_xlfn.TEXTAFTER(A195,"/",-1)</f>
        <v/>
      </c>
    </row>
    <row r="196">
      <c r="A196" t="inlineStr">
        <is>
          <t>/DB/TDME</t>
        </is>
      </c>
      <c r="B196">
        <f>_xlfn.TEXTAFTER(A196,"/",-1)</f>
        <v/>
      </c>
    </row>
    <row r="197">
      <c r="A197" t="inlineStr">
        <is>
          <t>/DB/TDMF</t>
        </is>
      </c>
      <c r="B197">
        <f>_xlfn.TEXTAFTER(A197,"/",-1)</f>
        <v/>
      </c>
    </row>
    <row r="198">
      <c r="A198" t="inlineStr">
        <is>
          <t>/DB/TDMT</t>
        </is>
      </c>
      <c r="B198">
        <f>_xlfn.TEXTAFTER(A198,"/",-1)</f>
        <v/>
      </c>
    </row>
    <row r="199">
      <c r="A199" t="inlineStr">
        <is>
          <t>/DB/TDNA</t>
        </is>
      </c>
      <c r="B199">
        <f>_xlfn.TEXTAFTER(A199,"/",-1)</f>
        <v/>
      </c>
    </row>
    <row r="200">
      <c r="A200" t="inlineStr">
        <is>
          <t>/DB/TDNT</t>
        </is>
      </c>
      <c r="B200">
        <f>_xlfn.TEXTAFTER(A200,"/",-1)</f>
        <v/>
      </c>
    </row>
    <row r="201">
      <c r="A201" t="inlineStr">
        <is>
          <t>/DB/TDPL</t>
        </is>
      </c>
      <c r="B201">
        <f>_xlfn.TEXTAFTER(A201,"/",-1)</f>
        <v/>
      </c>
    </row>
    <row r="202">
      <c r="A202" t="inlineStr">
        <is>
          <t>/DB/THFC</t>
        </is>
      </c>
      <c r="B202">
        <f>_xlfn.TEXTAFTER(A202,"/",-1)</f>
        <v/>
      </c>
    </row>
    <row r="203">
      <c r="A203" t="inlineStr">
        <is>
          <t>/DB/THGA</t>
        </is>
      </c>
      <c r="B203">
        <f>_xlfn.TEXTAFTER(A203,"/",-1)</f>
        <v/>
      </c>
    </row>
    <row r="204">
      <c r="A204" t="inlineStr">
        <is>
          <t>/DB/THGC</t>
        </is>
      </c>
      <c r="B204">
        <f>_xlfn.TEXTAFTER(A204,"/",-1)</f>
        <v/>
      </c>
    </row>
    <row r="205">
      <c r="A205" t="inlineStr">
        <is>
          <t>/DB/THIK</t>
        </is>
      </c>
      <c r="B205">
        <f>_xlfn.TEXTAFTER(A205,"/",-1)</f>
        <v/>
      </c>
    </row>
    <row r="206">
      <c r="A206" t="inlineStr">
        <is>
          <t>/DB/THIS</t>
        </is>
      </c>
      <c r="B206">
        <f>_xlfn.TEXTAFTER(A206,"/",-1)</f>
        <v/>
      </c>
    </row>
    <row r="207">
      <c r="A207" t="inlineStr">
        <is>
          <t>/DB/THMS</t>
        </is>
      </c>
      <c r="B207">
        <f>_xlfn.TEXTAFTER(A207,"/",-1)</f>
        <v/>
      </c>
    </row>
    <row r="208">
      <c r="A208" t="inlineStr">
        <is>
          <t>/DB/THNL</t>
        </is>
      </c>
      <c r="B208">
        <f>_xlfn.TEXTAFTER(A208,"/",-1)</f>
        <v/>
      </c>
    </row>
    <row r="209">
      <c r="A209" t="inlineStr">
        <is>
          <t>/DB/THRE</t>
        </is>
      </c>
      <c r="B209">
        <f>_xlfn.TEXTAFTER(A209,"/",-1)</f>
        <v/>
      </c>
    </row>
    <row r="210">
      <c r="A210" t="inlineStr">
        <is>
          <t>/DB/THRG</t>
        </is>
      </c>
      <c r="B210">
        <f>_xlfn.TEXTAFTER(A210,"/",-1)</f>
        <v/>
      </c>
    </row>
    <row r="211">
      <c r="A211" t="inlineStr">
        <is>
          <t>/DB/THRI</t>
        </is>
      </c>
      <c r="B211">
        <f>_xlfn.TEXTAFTER(A211,"/",-1)</f>
        <v/>
      </c>
    </row>
    <row r="212">
      <c r="A212" t="inlineStr">
        <is>
          <t>/DB/THSL</t>
        </is>
      </c>
      <c r="B212">
        <f>_xlfn.TEXTAFTER(A212,"/",-1)</f>
        <v/>
      </c>
    </row>
    <row r="213">
      <c r="A213" t="inlineStr">
        <is>
          <t>/DB/TMAT</t>
        </is>
      </c>
      <c r="B213">
        <f>_xlfn.TEXTAFTER(A213,"/",-1)</f>
        <v/>
      </c>
    </row>
    <row r="214">
      <c r="A214" t="inlineStr">
        <is>
          <t>/DB/TMLD</t>
        </is>
      </c>
      <c r="B214">
        <f>_xlfn.TEXTAFTER(A214,"/",-1)</f>
        <v/>
      </c>
    </row>
    <row r="215">
      <c r="A215" t="inlineStr">
        <is>
          <t>/DB/TSGR</t>
        </is>
      </c>
      <c r="B215">
        <f>_xlfn.TEXTAFTER(A215,"/",-1)</f>
        <v/>
      </c>
    </row>
    <row r="216">
      <c r="A216" t="inlineStr">
        <is>
          <t>/DB/UFIG</t>
        </is>
      </c>
      <c r="B216">
        <f>_xlfn.TEXTAFTER(A216,"/",-1)</f>
        <v/>
      </c>
    </row>
    <row r="217">
      <c r="A217" t="inlineStr">
        <is>
          <t>/DB/ULFC</t>
        </is>
      </c>
      <c r="B217">
        <f>_xlfn.TEXTAFTER(A217,"/",-1)</f>
        <v/>
      </c>
    </row>
    <row r="218">
      <c r="A218" t="inlineStr">
        <is>
          <t>/DB/UNIT</t>
        </is>
      </c>
      <c r="B218">
        <f>_xlfn.TEXTAFTER(A218,"/",-1)</f>
        <v/>
      </c>
    </row>
    <row r="219">
      <c r="A219" t="inlineStr">
        <is>
          <t>/DB/VBEM</t>
        </is>
      </c>
      <c r="B219">
        <f>_xlfn.TEXTAFTER(A219,"/",-1)</f>
        <v/>
      </c>
    </row>
    <row r="220">
      <c r="A220" t="inlineStr">
        <is>
          <t>/DB/VSEC</t>
        </is>
      </c>
      <c r="B220">
        <f>_xlfn.TEXTAFTER(A220,"/",-1)</f>
        <v/>
      </c>
    </row>
    <row r="221">
      <c r="A221" t="inlineStr">
        <is>
          <t>/DB/WMAK</t>
        </is>
      </c>
      <c r="B221">
        <f>_xlfn.TEXTAFTER(A221,"/",-1)</f>
        <v/>
      </c>
    </row>
    <row r="222">
      <c r="A222" t="inlineStr">
        <is>
          <t>/DB/WSSF</t>
        </is>
      </c>
      <c r="B222">
        <f>_xlfn.TEXTAFTER(A222,"/",-1)</f>
        <v/>
      </c>
    </row>
    <row r="223">
      <c r="A223" t="inlineStr">
        <is>
          <t>/DB/WVLD</t>
        </is>
      </c>
      <c r="B223">
        <f>_xlfn.TEXTAFTER(A223,"/",-1)</f>
        <v/>
      </c>
    </row>
    <row r="224">
      <c r="A224" t="inlineStr">
        <is>
          <t>/DOC/ANAL</t>
        </is>
      </c>
      <c r="B224">
        <f>_xlfn.TEXTAFTER(A224,"/",-1)</f>
        <v/>
      </c>
    </row>
    <row r="225">
      <c r="A225" t="inlineStr">
        <is>
          <t>/DOC/CLOSE</t>
        </is>
      </c>
      <c r="B225">
        <f>_xlfn.TEXTAFTER(A225,"/",-1)</f>
        <v/>
      </c>
    </row>
    <row r="226">
      <c r="A226" t="inlineStr">
        <is>
          <t>/DOC/EXIT</t>
        </is>
      </c>
      <c r="B226">
        <f>_xlfn.TEXTAFTER(A226,"/",-1)</f>
        <v/>
      </c>
    </row>
    <row r="227">
      <c r="A227" t="inlineStr">
        <is>
          <t>/DOC/EXPORT</t>
        </is>
      </c>
      <c r="B227">
        <f>_xlfn.TEXTAFTER(A227,"/",-1)</f>
        <v/>
      </c>
    </row>
    <row r="228">
      <c r="A228" t="inlineStr">
        <is>
          <t>/DOC/EXPORT/{NAME}</t>
        </is>
      </c>
      <c r="B228">
        <f>_xlfn.TEXTAFTER(A228,"/",-1)</f>
        <v/>
      </c>
    </row>
    <row r="229">
      <c r="A229" t="inlineStr">
        <is>
          <t>/DOC/EXPORTMXT</t>
        </is>
      </c>
      <c r="B229">
        <f>_xlfn.TEXTAFTER(A229,"/",-1)</f>
        <v/>
      </c>
    </row>
    <row r="230">
      <c r="A230" t="inlineStr">
        <is>
          <t>/DOC/IMPORT</t>
        </is>
      </c>
      <c r="B230">
        <f>_xlfn.TEXTAFTER(A230,"/",-1)</f>
        <v/>
      </c>
    </row>
    <row r="231">
      <c r="A231" t="inlineStr">
        <is>
          <t>/DOC/IMPORTMXT</t>
        </is>
      </c>
      <c r="B231">
        <f>_xlfn.TEXTAFTER(A231,"/",-1)</f>
        <v/>
      </c>
    </row>
    <row r="232">
      <c r="A232" t="inlineStr">
        <is>
          <t>/DOC/NEW</t>
        </is>
      </c>
      <c r="B232">
        <f>_xlfn.TEXTAFTER(A232,"/",-1)</f>
        <v/>
      </c>
    </row>
    <row r="233">
      <c r="A233" t="inlineStr">
        <is>
          <t>/DOC/OPEN</t>
        </is>
      </c>
      <c r="B233">
        <f>_xlfn.TEXTAFTER(A233,"/",-1)</f>
        <v/>
      </c>
    </row>
    <row r="234">
      <c r="A234" t="inlineStr">
        <is>
          <t>/DOC/SAVE</t>
        </is>
      </c>
      <c r="B234">
        <f>_xlfn.TEXTAFTER(A234,"/",-1)</f>
        <v/>
      </c>
    </row>
    <row r="235">
      <c r="A235" t="inlineStr">
        <is>
          <t>/DOC/SAVEAS</t>
        </is>
      </c>
      <c r="B235">
        <f>_xlfn.TEXTAFTER(A235,"/",-1)</f>
        <v/>
      </c>
    </row>
    <row r="236">
      <c r="A236" t="inlineStr">
        <is>
          <t>/DOC/STAGAS</t>
        </is>
      </c>
      <c r="B236">
        <f>_xlfn.TEXTAFTER(A236,"/",-1)</f>
        <v/>
      </c>
    </row>
    <row r="237">
      <c r="A237" t="inlineStr">
        <is>
          <t>/OPE/ANALSTATUS</t>
        </is>
      </c>
      <c r="B237">
        <f>_xlfn.TEXTAFTER(A237,"/",-1)</f>
        <v/>
      </c>
    </row>
    <row r="238">
      <c r="A238" t="inlineStr">
        <is>
          <t>/OPE/APIEND</t>
        </is>
      </c>
      <c r="B238">
        <f>_xlfn.TEXTAFTER(A238,"/",-1)</f>
        <v/>
      </c>
    </row>
    <row r="239">
      <c r="A239" t="inlineStr">
        <is>
          <t>/OPE/APISTART</t>
        </is>
      </c>
      <c r="B239">
        <f>_xlfn.TEXTAFTER(A239,"/",-1)</f>
        <v/>
      </c>
    </row>
    <row r="240">
      <c r="A240" t="inlineStr">
        <is>
          <t>/OPE/AUTOMESH</t>
        </is>
      </c>
      <c r="B240">
        <f>_xlfn.TEXTAFTER(A240,"/",-1)</f>
        <v/>
      </c>
    </row>
    <row r="241">
      <c r="A241" t="inlineStr">
        <is>
          <t>/OPE/BOM</t>
        </is>
      </c>
      <c r="B241">
        <f>_xlfn.TEXTAFTER(A241,"/",-1)</f>
        <v/>
      </c>
    </row>
    <row r="242">
      <c r="A242" t="inlineStr">
        <is>
          <t>/OPE/DIVIDEELEM</t>
        </is>
      </c>
      <c r="B242">
        <f>_xlfn.TEXTAFTER(A242,"/",-1)</f>
        <v/>
      </c>
    </row>
    <row r="243">
      <c r="A243" t="inlineStr">
        <is>
          <t>/OPE/EDMP</t>
        </is>
      </c>
      <c r="B243">
        <f>_xlfn.TEXTAFTER(A243,"/",-1)</f>
        <v/>
      </c>
    </row>
    <row r="244">
      <c r="A244" t="inlineStr">
        <is>
          <t>/OPE/ELEMPAR</t>
        </is>
      </c>
      <c r="B244">
        <f>_xlfn.TEXTAFTER(A244,"/",-1)</f>
        <v/>
      </c>
    </row>
    <row r="245">
      <c r="A245" t="inlineStr">
        <is>
          <t>/OPE/ELEMTDNT</t>
        </is>
      </c>
      <c r="B245">
        <f>_xlfn.TEXTAFTER(A245,"/",-1)</f>
        <v/>
      </c>
    </row>
    <row r="246">
      <c r="A246" t="inlineStr">
        <is>
          <t>/OPE/LINEBMLD</t>
        </is>
      </c>
      <c r="B246">
        <f>_xlfn.TEXTAFTER(A246,"/",-1)</f>
        <v/>
      </c>
    </row>
    <row r="247">
      <c r="A247" t="inlineStr">
        <is>
          <t>/OPE/MATL_DB/{TYPE or STANDARD}</t>
        </is>
      </c>
      <c r="B247">
        <f>_xlfn.TEXTAFTER(A247,"/",-1)</f>
        <v/>
      </c>
    </row>
    <row r="248">
      <c r="A248" t="inlineStr">
        <is>
          <t>/OPE/MATL_STANDARD/{TYPE}</t>
        </is>
      </c>
      <c r="B248">
        <f>_xlfn.TEXTAFTER(A248,"/",-1)</f>
        <v/>
      </c>
    </row>
    <row r="249">
      <c r="A249" t="inlineStr">
        <is>
          <t>/OPE/MEMB</t>
        </is>
      </c>
      <c r="B249">
        <f>_xlfn.TEXTAFTER(A249,"/",-1)</f>
        <v/>
      </c>
    </row>
    <row r="250">
      <c r="A250" t="inlineStr">
        <is>
          <t>/OPE/MODALDAMPINGRATIO</t>
        </is>
      </c>
      <c r="B250">
        <f>_xlfn.TEXTAFTER(A250,"/",-1)</f>
        <v/>
      </c>
    </row>
    <row r="251">
      <c r="A251" t="inlineStr">
        <is>
          <t>/OPE/MXTCMDSHELL</t>
        </is>
      </c>
      <c r="B251">
        <f>_xlfn.TEXTAFTER(A251,"/",-1)</f>
        <v/>
      </c>
    </row>
    <row r="252">
      <c r="A252" t="inlineStr">
        <is>
          <t>/OPE/MXTCMDSHELL/{CMD}</t>
        </is>
      </c>
      <c r="B252">
        <f>_xlfn.TEXTAFTER(A252,"/",-1)</f>
        <v/>
      </c>
    </row>
    <row r="253">
      <c r="A253" t="inlineStr">
        <is>
          <t>/OPE/MXTINFO</t>
        </is>
      </c>
      <c r="B253">
        <f>_xlfn.TEXTAFTER(A253,"/",-1)</f>
        <v/>
      </c>
    </row>
    <row r="254">
      <c r="A254" t="inlineStr">
        <is>
          <t>/OPE/PLATE_DECK</t>
        </is>
      </c>
      <c r="B254">
        <f>_xlfn.TEXTAFTER(A254,"/",-1)</f>
        <v/>
      </c>
    </row>
    <row r="255">
      <c r="A255" t="inlineStr">
        <is>
          <t>/OPE/POSP</t>
        </is>
      </c>
      <c r="B255">
        <f>_xlfn.TEXTAFTER(A255,"/",-1)</f>
        <v/>
      </c>
    </row>
    <row r="256">
      <c r="A256" t="inlineStr">
        <is>
          <t>/OPE/PROJECTSTATUS</t>
        </is>
      </c>
      <c r="B256">
        <f>_xlfn.TEXTAFTER(A256,"/",-1)</f>
        <v/>
      </c>
    </row>
    <row r="257">
      <c r="A257" t="inlineStr">
        <is>
          <t>/OPE/SECTCORD</t>
        </is>
      </c>
      <c r="B257">
        <f>_xlfn.TEXTAFTER(A257,"/",-1)</f>
        <v/>
      </c>
    </row>
    <row r="258">
      <c r="A258" t="inlineStr">
        <is>
          <t>/OPE/SECTPROP</t>
        </is>
      </c>
      <c r="B258">
        <f>_xlfn.TEXTAFTER(A258,"/",-1)</f>
        <v/>
      </c>
    </row>
    <row r="259">
      <c r="A259" t="inlineStr">
        <is>
          <t>/OPE/SECT_DBNAME/{shape}</t>
        </is>
      </c>
      <c r="B259">
        <f>_xlfn.TEXTAFTER(A259,"/",-1)</f>
        <v/>
      </c>
    </row>
    <row r="260">
      <c r="A260" t="inlineStr">
        <is>
          <t>/OPE/SECT_NAME</t>
        </is>
      </c>
      <c r="B260">
        <f>_xlfn.TEXTAFTER(A260,"/",-1)</f>
        <v/>
      </c>
    </row>
    <row r="261">
      <c r="A261" t="inlineStr">
        <is>
          <t>/OPE/SECT_SHAPE</t>
        </is>
      </c>
      <c r="B261">
        <f>_xlfn.TEXTAFTER(A261,"/",-1)</f>
        <v/>
      </c>
    </row>
    <row r="262">
      <c r="A262" t="inlineStr">
        <is>
          <t>/OPE/SECT_SHAPE/{opt}</t>
        </is>
      </c>
      <c r="B262">
        <f>_xlfn.TEXTAFTER(A262,"/",-1)</f>
        <v/>
      </c>
    </row>
    <row r="263">
      <c r="A263" t="inlineStr">
        <is>
          <t>/OPE/SMARTGRAPHVALUE</t>
        </is>
      </c>
      <c r="B263">
        <f>_xlfn.TEXTAFTER(A263,"/",-1)</f>
        <v/>
      </c>
    </row>
    <row r="264">
      <c r="A264" t="inlineStr">
        <is>
          <t>/OPE/SSPS</t>
        </is>
      </c>
      <c r="B264">
        <f>_xlfn.TEXTAFTER(A264,"/",-1)</f>
        <v/>
      </c>
    </row>
    <row r="265">
      <c r="A265" t="inlineStr">
        <is>
          <t>/OPE/SWPCGIRDER_DLG</t>
        </is>
      </c>
      <c r="B265">
        <f>_xlfn.TEXTAFTER(A265,"/",-1)</f>
        <v/>
      </c>
    </row>
    <row r="266">
      <c r="A266" t="inlineStr">
        <is>
          <t>/OPE/TEMP_TABLETYPE</t>
        </is>
      </c>
      <c r="B266">
        <f>_xlfn.TEXTAFTER(A266,"/",-1)</f>
        <v/>
      </c>
    </row>
    <row r="267">
      <c r="A267" t="inlineStr">
        <is>
          <t>/OPE/TRANSACTION-CANCEL</t>
        </is>
      </c>
      <c r="B267">
        <f>_xlfn.TEXTAFTER(A267,"/",-1)</f>
        <v/>
      </c>
    </row>
    <row r="268">
      <c r="A268" t="inlineStr">
        <is>
          <t>/OPE/TRANSACTION-CLOSE</t>
        </is>
      </c>
      <c r="B268">
        <f>_xlfn.TEXTAFTER(A268,"/",-1)</f>
        <v/>
      </c>
    </row>
    <row r="269">
      <c r="A269" t="inlineStr">
        <is>
          <t>/OPE/TRANSACTION-OPEN</t>
        </is>
      </c>
      <c r="B269">
        <f>_xlfn.TEXTAFTER(A269,"/",-1)</f>
        <v/>
      </c>
    </row>
    <row r="270">
      <c r="A270" t="inlineStr">
        <is>
          <t>/OPE/USLC</t>
        </is>
      </c>
      <c r="B270">
        <f>_xlfn.TEXTAFTER(A270,"/",-1)</f>
        <v/>
      </c>
    </row>
    <row r="271">
      <c r="A271" t="inlineStr">
        <is>
          <t>/OPE/UTBLTYPES</t>
        </is>
      </c>
      <c r="B271">
        <f>_xlfn.TEXTAFTER(A271,"/",-1)</f>
        <v/>
      </c>
    </row>
    <row r="272">
      <c r="A272" t="inlineStr">
        <is>
          <t>/POST/ANL</t>
        </is>
      </c>
      <c r="B272">
        <f>_xlfn.TEXTAFTER(A272,"/",-1)</f>
        <v/>
      </c>
    </row>
    <row r="273">
      <c r="A273" t="inlineStr">
        <is>
          <t>/POST/CHART</t>
        </is>
      </c>
      <c r="B273">
        <f>_xlfn.TEXTAFTER(A273,"/",-1)</f>
        <v/>
      </c>
    </row>
    <row r="274">
      <c r="A274" t="inlineStr">
        <is>
          <t>/POST/PM</t>
        </is>
      </c>
      <c r="B274">
        <f>_xlfn.TEXTAFTER(A274,"/",-1)</f>
        <v/>
      </c>
    </row>
    <row r="275">
      <c r="A275" t="inlineStr">
        <is>
          <t>/POST/RCBEAMCHKRATIO</t>
        </is>
      </c>
      <c r="B275">
        <f>_xlfn.TEXTAFTER(A275,"/",-1)</f>
        <v/>
      </c>
    </row>
    <row r="276">
      <c r="A276" t="inlineStr">
        <is>
          <t>/POST/RCWALLDGNRATIO</t>
        </is>
      </c>
      <c r="B276">
        <f>_xlfn.TEXTAFTER(A276,"/",-1)</f>
        <v/>
      </c>
    </row>
    <row r="277">
      <c r="A277" t="inlineStr">
        <is>
          <t>/POST/STEELCODECHECK</t>
        </is>
      </c>
      <c r="B277">
        <f>_xlfn.TEXTAFTER(A277,"/",-1)</f>
        <v/>
      </c>
    </row>
    <row r="278">
      <c r="A278" t="inlineStr">
        <is>
          <t>/POST/TABLE</t>
        </is>
      </c>
      <c r="B278">
        <f>_xlfn.TEXTAFTER(A278,"/",-1)</f>
        <v/>
      </c>
    </row>
    <row r="279">
      <c r="A279" t="inlineStr">
        <is>
          <t>/POST/TEXT</t>
        </is>
      </c>
      <c r="B279">
        <f>_xlfn.TEXTAFTER(A279,"/",-1)</f>
        <v/>
      </c>
    </row>
    <row r="280">
      <c r="A280" t="inlineStr">
        <is>
          <t>/VIEW/ACTIVE</t>
        </is>
      </c>
      <c r="B280">
        <f>_xlfn.TEXTAFTER(A280,"/",-1)</f>
        <v/>
      </c>
    </row>
    <row r="281">
      <c r="A281" t="inlineStr">
        <is>
          <t>/VIEW/ANGLE</t>
        </is>
      </c>
      <c r="B281">
        <f>_xlfn.TEXTAFTER(A281,"/",-1)</f>
        <v/>
      </c>
    </row>
    <row r="282">
      <c r="A282" t="inlineStr">
        <is>
          <t>/VIEW/CAPTURE</t>
        </is>
      </c>
      <c r="B282">
        <f>_xlfn.TEXTAFTER(A282,"/",-1)</f>
        <v/>
      </c>
    </row>
    <row r="283">
      <c r="A283" t="inlineStr">
        <is>
          <t>/VIEW/DISPLAY</t>
        </is>
      </c>
      <c r="B283">
        <f>_xlfn.TEXTAFTER(A283,"/",-1)</f>
        <v/>
      </c>
    </row>
    <row r="284">
      <c r="A284" t="inlineStr">
        <is>
          <t>/VIEW/PRECAPTURE</t>
        </is>
      </c>
      <c r="B284">
        <f>_xlfn.TEXTAFTER(A284,"/",-1)</f>
        <v/>
      </c>
    </row>
    <row r="285">
      <c r="A285" t="inlineStr">
        <is>
          <t>/VIEW/RESULTGRAPHIC</t>
        </is>
      </c>
      <c r="B285">
        <f>_xlfn.TEXTAFTER(A285,"/",-1)</f>
        <v/>
      </c>
    </row>
    <row r="286">
      <c r="A286" t="inlineStr">
        <is>
          <t>/VIEW/SELECT</t>
        </is>
      </c>
      <c r="B286">
        <f>_xlfn.TEXTAFTER(A286,"/",-1)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2026-02-05T02:54:12Z</dcterms:created>
  <dcterms:modified xmlns:dcterms="http://purl.org/dc/terms/" xmlns:xsi="http://www.w3.org/2001/XMLSchema-instance" xsi:type="dcterms:W3CDTF">2026-03-12T05:39:47Z</dcterms:modified>
  <cp:lastModifiedBy>Unknown</cp:lastModifiedBy>
</cp:coreProperties>
</file>